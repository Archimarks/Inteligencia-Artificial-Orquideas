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Desktop\ASHWAGANDHA\R2 FRONTERIRS\Submission\"/>
    </mc:Choice>
  </mc:AlternateContent>
  <xr:revisionPtr revIDLastSave="0" documentId="8_{D82BE96A-AE22-49A5-B36F-193E6E386EE1}" xr6:coauthVersionLast="47" xr6:coauthVersionMax="47" xr10:uidLastSave="{00000000-0000-0000-0000-000000000000}"/>
  <bookViews>
    <workbookView xWindow="-108" yWindow="-108" windowWidth="23256" windowHeight="13896" xr2:uid="{99CF4B3A-0BD1-4134-8BC0-CB8B2B62CC2B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8" i="1" l="1"/>
  <c r="Q211" i="1"/>
  <c r="Q528" i="1"/>
  <c r="Q236" i="1"/>
  <c r="Q548" i="1"/>
  <c r="Q297" i="1"/>
  <c r="Q749" i="1"/>
  <c r="Q222" i="1"/>
  <c r="Q114" i="1"/>
  <c r="Q481" i="1"/>
  <c r="Q315" i="1"/>
  <c r="Q160" i="1"/>
  <c r="Q501" i="1"/>
  <c r="Q110" i="1"/>
  <c r="Q681" i="1"/>
  <c r="Q559" i="1"/>
  <c r="Q212" i="1"/>
  <c r="Q177" i="1"/>
  <c r="Q538" i="1"/>
  <c r="Q308" i="1"/>
  <c r="Q298" i="1"/>
  <c r="Q142" i="1"/>
  <c r="Q238" i="1"/>
  <c r="Q243" i="1"/>
  <c r="Q563" i="1"/>
  <c r="Q521" i="1"/>
  <c r="Q143" i="1"/>
  <c r="Q203" i="1"/>
  <c r="Q316" i="1"/>
  <c r="Q587" i="1"/>
  <c r="Q480" i="1"/>
  <c r="Q116" i="1"/>
  <c r="Q96" i="1"/>
  <c r="Q797" i="1"/>
  <c r="Q633" i="1"/>
  <c r="Q240" i="1"/>
  <c r="Q209" i="1"/>
  <c r="Q358" i="1"/>
  <c r="Q75" i="1"/>
  <c r="Q515" i="1"/>
  <c r="Q146" i="1"/>
  <c r="Q427" i="1"/>
  <c r="Q863" i="1"/>
  <c r="Q885" i="1"/>
  <c r="Q77" i="1"/>
  <c r="Q695" i="1"/>
  <c r="Q812" i="1"/>
  <c r="Q646" i="1"/>
  <c r="Q486" i="1"/>
  <c r="Q227" i="1"/>
  <c r="Q757" i="1"/>
  <c r="Q364" i="1"/>
  <c r="Q412" i="1"/>
  <c r="Q79" i="1"/>
  <c r="Q228" i="1"/>
  <c r="Q22" i="1"/>
  <c r="Q106" i="1"/>
  <c r="Q776" i="1"/>
  <c r="Q937" i="1"/>
  <c r="Q872" i="1"/>
  <c r="Q631" i="1"/>
  <c r="Q223" i="1"/>
  <c r="Q642" i="1"/>
  <c r="Q347" i="1"/>
  <c r="Q741" i="1"/>
  <c r="Q634" i="1"/>
  <c r="Q248" i="1"/>
  <c r="Q168" i="1"/>
  <c r="Q380" i="1"/>
  <c r="Q583" i="1"/>
  <c r="Q967" i="1"/>
  <c r="Q105" i="1"/>
  <c r="Q555" i="1"/>
  <c r="Q271" i="1"/>
  <c r="Q877" i="1"/>
  <c r="Q359" i="1"/>
  <c r="Q296" i="1"/>
  <c r="Q70" i="1"/>
  <c r="Q19" i="1"/>
  <c r="Q952" i="1"/>
  <c r="Q840" i="1"/>
  <c r="Q832" i="1"/>
  <c r="Q608" i="1"/>
  <c r="Q550" i="1"/>
  <c r="Q817" i="1"/>
  <c r="Q607" i="1"/>
  <c r="Q159" i="1"/>
  <c r="Q448" i="1"/>
  <c r="Q352" i="1"/>
  <c r="Q285" i="1"/>
  <c r="Q767" i="1"/>
  <c r="Q598" i="1"/>
  <c r="Q927" i="1"/>
  <c r="Q470" i="1"/>
  <c r="Q398" i="1"/>
  <c r="Q155" i="1"/>
  <c r="Q519" i="1"/>
  <c r="Q460" i="1"/>
  <c r="Q478" i="1"/>
  <c r="Q207" i="1"/>
  <c r="Q34" i="1"/>
  <c r="Q794" i="1"/>
  <c r="Q266" i="1"/>
  <c r="Q210" i="1"/>
  <c r="Q683" i="1"/>
  <c r="Q17" i="1"/>
  <c r="Q884" i="1"/>
  <c r="Q265" i="1"/>
  <c r="Q361" i="1"/>
  <c r="Q147" i="1"/>
  <c r="Q891" i="1"/>
  <c r="Q319" i="1"/>
  <c r="Q743" i="1"/>
  <c r="Q651" i="1"/>
  <c r="Q263" i="1"/>
  <c r="Q819" i="1"/>
  <c r="Q934" i="1"/>
  <c r="Q477" i="1"/>
  <c r="Q404" i="1"/>
  <c r="Q805" i="1"/>
  <c r="Q421" i="1"/>
  <c r="Q122" i="1"/>
  <c r="Q653" i="1"/>
  <c r="Q258" i="1"/>
  <c r="Q647" i="1"/>
  <c r="Q530" i="1"/>
  <c r="Q493" i="1"/>
  <c r="Q684" i="1"/>
  <c r="Q547" i="1"/>
  <c r="Q282" i="1"/>
  <c r="Q278" i="1"/>
  <c r="Q552" i="1"/>
  <c r="Q809" i="1"/>
  <c r="Q152" i="1"/>
  <c r="Q200" i="1"/>
  <c r="Q134" i="1"/>
  <c r="Q231" i="1"/>
  <c r="Q136" i="1"/>
  <c r="Q419" i="1"/>
  <c r="Q554" i="1"/>
  <c r="Q117" i="1"/>
  <c r="Q545" i="1"/>
  <c r="Q229" i="1"/>
  <c r="Q456" i="1"/>
  <c r="Q707" i="1"/>
  <c r="Q491" i="1"/>
  <c r="Q744" i="1"/>
  <c r="Q836" i="1"/>
  <c r="Q305" i="1"/>
  <c r="Q449" i="1"/>
  <c r="Q251" i="1"/>
  <c r="Q842" i="1"/>
  <c r="Q736" i="1"/>
  <c r="Q564" i="1"/>
  <c r="Q225" i="1"/>
  <c r="Q505" i="1"/>
  <c r="Q498" i="1"/>
  <c r="Q84" i="1"/>
  <c r="Q536" i="1"/>
  <c r="Q260" i="1"/>
  <c r="Q770" i="1"/>
  <c r="Q713" i="1"/>
  <c r="Q307" i="1"/>
  <c r="Q650" i="1"/>
  <c r="Q250" i="1"/>
  <c r="Q202" i="1"/>
  <c r="Q443" i="1"/>
  <c r="Q810" i="1"/>
  <c r="Q847" i="1"/>
  <c r="Q18" i="1"/>
  <c r="Q585" i="1"/>
  <c r="Q529" i="1"/>
  <c r="Q124" i="1"/>
  <c r="Q38" i="1"/>
  <c r="Q395" i="1"/>
  <c r="Q811" i="1"/>
  <c r="Q325" i="1"/>
  <c r="Q740" i="1"/>
  <c r="Q83" i="1"/>
  <c r="Q2" i="1"/>
  <c r="Q978" i="1"/>
  <c r="Q31" i="1"/>
  <c r="Q533" i="1"/>
  <c r="Q7" i="1"/>
  <c r="Q249" i="1"/>
  <c r="Q111" i="1"/>
  <c r="Q252" i="1"/>
  <c r="Q239" i="1"/>
  <c r="Q156" i="1"/>
  <c r="Q925" i="1"/>
  <c r="Q435" i="1"/>
  <c r="Q128" i="1"/>
  <c r="Q342" i="1"/>
  <c r="Q668" i="1"/>
  <c r="Q609" i="1"/>
  <c r="Q798" i="1"/>
  <c r="Q834" i="1"/>
  <c r="Q313" i="1"/>
  <c r="Q199" i="1"/>
  <c r="Q232" i="1"/>
  <c r="Q180" i="1"/>
  <c r="Q729" i="1"/>
  <c r="Q103" i="1"/>
  <c r="Q479" i="1"/>
  <c r="Q406" i="1"/>
  <c r="Q433" i="1"/>
  <c r="Q864" i="1"/>
  <c r="Q697" i="1"/>
  <c r="Q349" i="1"/>
  <c r="Q928" i="1"/>
  <c r="Q525" i="1"/>
  <c r="Q158" i="1"/>
  <c r="Q712" i="1"/>
  <c r="Q102" i="1"/>
  <c r="Q626" i="1"/>
  <c r="Q657" i="1"/>
  <c r="Q551" i="1"/>
  <c r="Q610" i="1"/>
  <c r="Q120" i="1"/>
  <c r="Q829" i="1"/>
  <c r="Q369" i="1"/>
  <c r="Q426" i="1"/>
  <c r="Q3" i="1"/>
  <c r="Q774" i="1"/>
  <c r="Q170" i="1"/>
  <c r="Q317" i="1"/>
  <c r="Q277" i="1"/>
  <c r="Q272" i="1"/>
  <c r="Q737" i="1"/>
  <c r="Q912" i="1"/>
  <c r="Q985" i="1"/>
  <c r="Q403" i="1"/>
  <c r="Q573" i="1"/>
  <c r="Q862" i="1"/>
  <c r="Q723" i="1"/>
  <c r="Q678" i="1"/>
  <c r="Q373" i="1"/>
  <c r="Q25" i="1"/>
  <c r="Q718" i="1"/>
  <c r="Q652" i="1"/>
  <c r="Q383" i="1"/>
  <c r="Q508" i="1"/>
  <c r="Q824" i="1"/>
  <c r="Q121" i="1"/>
  <c r="Q303" i="1"/>
  <c r="Q378" i="1"/>
  <c r="Q293" i="1"/>
  <c r="Q321" i="1"/>
  <c r="Q371" i="1"/>
  <c r="Q197" i="1"/>
  <c r="Q264" i="1"/>
  <c r="Q148" i="1"/>
  <c r="Q309" i="1"/>
  <c r="Q100" i="1"/>
  <c r="Q502" i="1"/>
  <c r="Q906" i="1"/>
  <c r="Q162" i="1"/>
  <c r="Q620" i="1"/>
  <c r="Q721" i="1"/>
  <c r="Q318" i="1"/>
  <c r="Q98" i="1"/>
  <c r="Q341" i="1"/>
  <c r="Q145" i="1"/>
  <c r="Q169" i="1"/>
  <c r="Q415" i="1"/>
  <c r="Q195" i="1"/>
  <c r="Q215" i="1"/>
  <c r="Q402" i="1"/>
  <c r="Q913" i="1"/>
  <c r="Q823" i="1"/>
  <c r="Q425" i="1"/>
  <c r="Q184" i="1"/>
  <c r="Q753" i="1"/>
  <c r="Q323" i="1"/>
  <c r="Q376" i="1"/>
  <c r="Q205" i="1"/>
  <c r="Q213" i="1"/>
  <c r="Q326" i="1"/>
  <c r="Q164" i="1"/>
  <c r="Q756" i="1"/>
  <c r="Q115" i="1"/>
  <c r="Q262" i="1"/>
  <c r="Q947" i="1"/>
  <c r="Q157" i="1"/>
  <c r="Q537" i="1"/>
  <c r="Q194" i="1"/>
  <c r="Q495" i="1"/>
  <c r="Q418" i="1"/>
  <c r="Q20" i="1"/>
  <c r="Q141" i="1"/>
  <c r="Q789" i="1"/>
  <c r="Q594" i="1"/>
  <c r="Q440" i="1"/>
  <c r="Q181" i="1"/>
  <c r="Q572" i="1"/>
  <c r="Q542" i="1"/>
  <c r="Q674" i="1"/>
  <c r="Q796" i="1"/>
  <c r="Q362" i="1"/>
  <c r="Q144" i="1"/>
  <c r="Q762" i="1"/>
  <c r="Q565" i="1"/>
  <c r="Q879" i="1"/>
  <c r="Q852" i="1"/>
  <c r="Q581" i="1"/>
  <c r="Q621" i="1"/>
  <c r="Q669" i="1"/>
  <c r="Q738" i="1"/>
  <c r="Q432" i="1"/>
  <c r="Q803" i="1"/>
  <c r="Q791" i="1"/>
  <c r="Q855" i="1"/>
  <c r="Q664" i="1"/>
  <c r="Q255" i="1"/>
  <c r="Q42" i="1"/>
  <c r="Q290" i="1"/>
  <c r="Q700" i="1"/>
  <c r="Q428" i="1"/>
  <c r="Q616" i="1"/>
  <c r="Q901" i="1"/>
  <c r="Q431" i="1"/>
  <c r="Q775" i="1"/>
  <c r="Q815" i="1"/>
  <c r="Q204" i="1"/>
  <c r="Q886" i="1"/>
  <c r="Q535" i="1"/>
  <c r="Q9" i="1"/>
  <c r="Q580" i="1"/>
  <c r="Q29" i="1"/>
  <c r="Q301" i="1"/>
  <c r="Q174" i="1"/>
  <c r="Q439" i="1"/>
  <c r="Q208" i="1"/>
  <c r="Q658" i="1"/>
  <c r="Q476" i="1"/>
  <c r="Q482" i="1"/>
  <c r="Q497" i="1"/>
  <c r="Q900" i="1"/>
  <c r="Q499" i="1"/>
  <c r="Q955" i="1"/>
  <c r="Q984" i="1"/>
  <c r="Q176" i="1"/>
  <c r="Q417" i="1"/>
  <c r="Q23" i="1"/>
  <c r="Q354" i="1"/>
  <c r="Q33" i="1"/>
  <c r="Q659" i="1"/>
  <c r="Q957" i="1"/>
  <c r="Q130" i="1"/>
  <c r="Q300" i="1"/>
  <c r="Q310" i="1"/>
  <c r="Q619" i="1"/>
  <c r="Q485" i="1"/>
  <c r="Q386" i="1"/>
  <c r="Q193" i="1"/>
  <c r="Q436" i="1"/>
  <c r="Q795" i="1"/>
  <c r="Q987" i="1"/>
  <c r="Q748" i="1"/>
  <c r="Q909" i="1"/>
  <c r="Q438" i="1"/>
  <c r="Q577" i="1"/>
  <c r="Q814" i="1"/>
  <c r="Q496" i="1"/>
  <c r="Q861" i="1"/>
  <c r="Q32" i="1"/>
  <c r="Q93" i="1"/>
  <c r="Q360" i="1"/>
  <c r="Q838" i="1"/>
  <c r="Q540" i="1"/>
  <c r="Q283" i="1"/>
  <c r="Q688" i="1"/>
  <c r="Q370" i="1"/>
  <c r="Q622" i="1"/>
  <c r="Q759" i="1"/>
  <c r="Q355" i="1"/>
  <c r="Q484" i="1"/>
  <c r="Q822" i="1"/>
  <c r="Q510" i="1"/>
  <c r="Q153" i="1"/>
  <c r="Q876" i="1"/>
  <c r="Q643" i="1"/>
  <c r="Q575" i="1"/>
  <c r="Q414" i="1"/>
  <c r="Q960" i="1"/>
  <c r="Q13" i="1"/>
  <c r="Q701" i="1"/>
  <c r="Q570" i="1"/>
  <c r="Q320" i="1"/>
  <c r="Q186" i="1"/>
  <c r="Q560" i="1"/>
  <c r="Q381" i="1"/>
  <c r="Q94" i="1"/>
  <c r="Q553" i="1"/>
  <c r="Q171" i="1"/>
  <c r="Q475" i="1"/>
  <c r="Q104" i="1"/>
  <c r="Q586" i="1"/>
  <c r="Q52" i="1"/>
  <c r="Q881" i="1"/>
  <c r="Q512" i="1"/>
  <c r="Q727" i="1"/>
  <c r="Q531" i="1"/>
  <c r="Q760" i="1"/>
  <c r="Q752" i="1"/>
  <c r="Q410" i="1"/>
  <c r="Q972" i="1"/>
  <c r="Q16" i="1"/>
  <c r="Q267" i="1"/>
  <c r="Q288" i="1"/>
  <c r="Q88" i="1"/>
  <c r="Q571" i="1"/>
  <c r="Q910" i="1"/>
  <c r="Q256" i="1"/>
  <c r="Q686" i="1"/>
  <c r="Q409" i="1"/>
  <c r="Q74" i="1"/>
  <c r="Q216" i="1"/>
  <c r="Q709" i="1"/>
  <c r="Q246" i="1"/>
  <c r="Q269" i="1"/>
  <c r="Q589" i="1"/>
  <c r="Q185" i="1"/>
  <c r="Q627" i="1"/>
  <c r="Q416" i="1"/>
  <c r="Q230" i="1"/>
  <c r="Q853" i="1"/>
  <c r="Q328" i="1"/>
  <c r="Q165" i="1"/>
  <c r="Q532" i="1"/>
  <c r="Q654" i="1"/>
  <c r="Q787" i="1"/>
  <c r="Q720" i="1"/>
  <c r="Q87" i="1"/>
  <c r="Q584" i="1"/>
  <c r="Q866" i="1"/>
  <c r="Q860" i="1"/>
  <c r="Q394" i="1"/>
  <c r="Q429" i="1"/>
  <c r="Q129" i="1"/>
  <c r="Q474" i="1"/>
  <c r="Q780" i="1"/>
  <c r="Q956" i="1"/>
  <c r="Q451" i="1"/>
  <c r="Q670" i="1"/>
  <c r="Q279" i="1"/>
  <c r="Q488" i="1"/>
  <c r="Q447" i="1"/>
  <c r="Q179" i="1"/>
  <c r="Q503" i="1"/>
  <c r="Q691" i="1"/>
  <c r="Q36" i="1"/>
  <c r="Q576" i="1"/>
  <c r="Q340" i="1"/>
  <c r="Q982" i="1"/>
  <c r="Q441" i="1"/>
  <c r="Q851" i="1"/>
  <c r="Q930" i="1"/>
  <c r="Q241" i="1"/>
  <c r="Q763" i="1"/>
  <c r="Q926" i="1"/>
  <c r="Q831" i="1"/>
  <c r="Q777" i="1"/>
  <c r="Q489" i="1"/>
  <c r="Q206" i="1"/>
  <c r="Q27" i="1"/>
  <c r="Q247" i="1"/>
  <c r="Q504" i="1"/>
  <c r="Q968" i="1"/>
  <c r="Q593" i="1"/>
  <c r="Q706" i="1"/>
  <c r="Q154" i="1"/>
  <c r="Q363" i="1"/>
  <c r="Q730" i="1"/>
  <c r="Q50" i="1"/>
  <c r="Q963" i="1"/>
  <c r="Q588" i="1"/>
  <c r="Q511" i="1"/>
  <c r="Q377" i="1"/>
  <c r="Q887" i="1"/>
  <c r="Q556" i="1"/>
  <c r="Q617" i="1"/>
  <c r="Q420" i="1"/>
  <c r="Q827" i="1"/>
  <c r="Q399" i="1"/>
  <c r="Q286" i="1"/>
  <c r="Q54" i="1"/>
  <c r="Q468" i="1"/>
  <c r="Q516" i="1"/>
  <c r="Q625" i="1"/>
  <c r="Q883" i="1"/>
  <c r="Q971" i="1"/>
  <c r="Q454" i="1"/>
  <c r="Q453" i="1"/>
  <c r="Q173" i="1"/>
  <c r="Q125" i="1"/>
  <c r="Q101" i="1"/>
  <c r="Q640" i="1"/>
  <c r="Q392" i="1"/>
  <c r="Q322" i="1"/>
  <c r="Q391" i="1"/>
  <c r="Q755" i="1"/>
  <c r="Q175" i="1"/>
  <c r="Q523" i="1"/>
  <c r="Q782" i="1"/>
  <c r="Q769" i="1"/>
  <c r="Q602" i="1"/>
  <c r="Q603" i="1"/>
  <c r="Q462" i="1"/>
  <c r="Q672" i="1"/>
  <c r="Q612" i="1"/>
  <c r="Q783" i="1"/>
  <c r="Q458" i="1"/>
  <c r="Q131" i="1"/>
  <c r="Q58" i="1"/>
  <c r="Q329" i="1"/>
  <c r="Q561" i="1"/>
  <c r="Q745" i="1"/>
  <c r="Q717" i="1"/>
  <c r="Q977" i="1"/>
  <c r="Q966" i="1"/>
  <c r="Q954" i="1"/>
  <c r="Q716" i="1"/>
  <c r="Q188" i="1"/>
  <c r="Q48" i="1"/>
  <c r="Q578" i="1"/>
  <c r="Q990" i="1"/>
  <c r="Q869" i="1"/>
  <c r="Q849" i="1"/>
  <c r="Q396" i="1"/>
  <c r="Q287" i="1"/>
  <c r="Q637" i="1"/>
  <c r="Q758" i="1"/>
  <c r="Q218" i="1"/>
  <c r="Q389" i="1"/>
  <c r="Q837" i="1"/>
  <c r="Q801" i="1"/>
  <c r="Q682" i="1"/>
  <c r="Q346" i="1"/>
  <c r="Q920" i="1"/>
  <c r="Q865" i="1"/>
  <c r="Q306" i="1"/>
  <c r="Q662" i="1"/>
  <c r="Q408" i="1"/>
  <c r="Q980" i="1"/>
  <c r="Q923" i="1"/>
  <c r="Q835" i="1"/>
  <c r="Q368" i="1"/>
  <c r="Q614" i="1"/>
  <c r="Q109" i="1"/>
  <c r="Q728" i="1"/>
  <c r="Q295" i="1"/>
  <c r="Q113" i="1"/>
  <c r="Q940" i="1"/>
  <c r="Q469" i="1"/>
  <c r="Q471" i="1"/>
  <c r="Q871" i="1"/>
  <c r="Q942" i="1"/>
  <c r="Q123" i="1"/>
  <c r="Q450" i="1"/>
  <c r="Q639" i="1"/>
  <c r="Q333" i="1"/>
  <c r="Q444" i="1"/>
  <c r="Q405" i="1"/>
  <c r="Q839" i="1"/>
  <c r="Q108" i="1"/>
  <c r="Q365" i="1"/>
  <c r="Q387" i="1"/>
  <c r="Q442" i="1"/>
  <c r="Q932" i="1"/>
  <c r="Q843" i="1"/>
  <c r="Q867" i="1"/>
  <c r="Q828" i="1"/>
  <c r="Q151" i="1"/>
  <c r="Q591" i="1"/>
  <c r="Q189" i="1"/>
  <c r="Q221" i="1"/>
  <c r="Q233" i="1"/>
  <c r="Q826" i="1"/>
  <c r="Q596" i="1"/>
  <c r="Q388" i="1"/>
  <c r="Q292" i="1"/>
  <c r="Q804" i="1"/>
  <c r="Q870" i="1"/>
  <c r="Q793" i="1"/>
  <c r="Q988" i="1"/>
  <c r="Q845" i="1"/>
  <c r="Q350" i="1"/>
  <c r="Q615" i="1"/>
  <c r="Q280" i="1"/>
  <c r="Q270" i="1"/>
  <c r="Q192" i="1"/>
  <c r="Q400" i="1"/>
  <c r="Q224" i="1"/>
  <c r="Q268" i="1"/>
  <c r="Q45" i="1"/>
  <c r="Q950" i="1"/>
  <c r="Q67" i="1"/>
  <c r="Q242" i="1"/>
  <c r="Q201" i="1"/>
  <c r="Q513" i="1"/>
  <c r="Q790" i="1"/>
  <c r="Q983" i="1"/>
  <c r="Q768" i="1"/>
  <c r="Q979" i="1"/>
  <c r="Q568" i="1"/>
  <c r="Q434" i="1"/>
  <c r="Q234" i="1"/>
  <c r="Q302" i="1"/>
  <c r="Q764" i="1"/>
  <c r="Q965" i="1"/>
  <c r="Q786" i="1"/>
  <c r="Q90" i="1"/>
  <c r="Q461" i="1"/>
  <c r="Q618" i="1"/>
  <c r="Q138" i="1"/>
  <c r="Q43" i="1"/>
  <c r="Q57" i="1"/>
  <c r="Q51" i="1"/>
  <c r="Q964" i="1"/>
  <c r="Q244" i="1"/>
  <c r="Q73" i="1"/>
  <c r="Q792" i="1"/>
  <c r="Q330" i="1"/>
  <c r="Q276" i="1"/>
  <c r="Q214" i="1"/>
  <c r="Q784" i="1"/>
  <c r="Q665" i="1"/>
  <c r="Q379" i="1"/>
  <c r="Q312" i="1"/>
  <c r="Q673" i="1"/>
  <c r="Q733" i="1"/>
  <c r="Q714" i="1"/>
  <c r="Q941" i="1"/>
  <c r="Q446" i="1"/>
  <c r="Q882" i="1"/>
  <c r="Q944" i="1"/>
  <c r="Q902" i="1"/>
  <c r="Q632" i="1"/>
  <c r="Q281" i="1"/>
  <c r="Q483" i="1"/>
  <c r="Q382" i="1"/>
  <c r="Q888" i="1"/>
  <c r="Q226" i="1"/>
  <c r="Q690" i="1"/>
  <c r="Q163" i="1"/>
  <c r="Q841" i="1"/>
  <c r="Q345" i="1"/>
  <c r="Q304" i="1"/>
  <c r="Q939" i="1"/>
  <c r="Q802" i="1"/>
  <c r="Q818" i="1"/>
  <c r="Q39" i="1"/>
  <c r="Q92" i="1"/>
  <c r="Q833" i="1"/>
  <c r="Q139" i="1"/>
  <c r="Q711" i="1"/>
  <c r="Q339" i="1"/>
  <c r="Q534" i="1"/>
  <c r="Q464" i="1"/>
  <c r="Q645" i="1"/>
  <c r="Q732" i="1"/>
  <c r="Q337" i="1"/>
  <c r="Q970" i="1"/>
  <c r="Q430" i="1"/>
  <c r="Q24" i="1"/>
  <c r="Q773" i="1"/>
  <c r="Q781" i="1"/>
  <c r="Q56" i="1"/>
  <c r="Q731" i="1"/>
  <c r="Q916" i="1"/>
  <c r="Q567" i="1"/>
  <c r="Q69" i="1"/>
  <c r="Q366" i="1"/>
  <c r="Q958" i="1"/>
  <c r="Q915" i="1"/>
  <c r="Q644" i="1"/>
  <c r="Q541" i="1"/>
  <c r="Q788" i="1"/>
  <c r="Q273" i="1"/>
  <c r="Q11" i="1"/>
  <c r="Q374" i="1"/>
  <c r="Q746" i="1"/>
  <c r="Q750" i="1"/>
  <c r="Q613" i="1"/>
  <c r="Q949" i="1"/>
  <c r="Q696" i="1"/>
  <c r="Q641" i="1"/>
  <c r="Q522" i="1"/>
  <c r="Q905" i="1"/>
  <c r="Q992" i="1"/>
  <c r="Q924" i="1"/>
  <c r="Q710" i="1"/>
  <c r="Q544" i="1"/>
  <c r="Q257" i="1"/>
  <c r="Q220" i="1"/>
  <c r="Q459" i="1"/>
  <c r="Q680" i="1"/>
  <c r="Q506" i="1"/>
  <c r="Q76" i="1"/>
  <c r="Q779" i="1"/>
  <c r="Q935" i="1"/>
  <c r="Q455" i="1"/>
  <c r="Q161" i="1"/>
  <c r="Q132" i="1"/>
  <c r="Q80" i="1"/>
  <c r="Q82" i="1"/>
  <c r="Q820" i="1"/>
  <c r="Q424" i="1"/>
  <c r="Q897" i="1"/>
  <c r="Q261" i="1"/>
  <c r="Q517" i="1"/>
  <c r="Q938" i="1"/>
  <c r="Q896" i="1"/>
  <c r="Q754" i="1"/>
  <c r="Q806" i="1"/>
  <c r="Q667" i="1"/>
  <c r="Q719" i="1"/>
  <c r="Q739" i="1"/>
  <c r="Q133" i="1"/>
  <c r="Q465" i="1"/>
  <c r="Q385" i="1"/>
  <c r="Q356" i="1"/>
  <c r="Q335" i="1"/>
  <c r="Q21" i="1"/>
  <c r="Q931" i="1"/>
  <c r="Q698" i="1"/>
  <c r="Q397" i="1"/>
  <c r="Q81" i="1"/>
  <c r="Q466" i="1"/>
  <c r="Q908" i="1"/>
  <c r="Q166" i="1"/>
  <c r="Q557" i="1"/>
  <c r="Q259" i="1"/>
  <c r="Q895" i="1"/>
  <c r="Q975" i="1"/>
  <c r="Q467" i="1"/>
  <c r="Q708" i="1"/>
  <c r="Q856" i="1"/>
  <c r="Q628" i="1"/>
  <c r="Q976" i="1"/>
  <c r="Q351" i="1"/>
  <c r="Q778" i="1"/>
  <c r="Q463" i="1"/>
  <c r="Q629" i="1"/>
  <c r="Q334" i="1"/>
  <c r="Q676" i="1"/>
  <c r="Q331" i="1"/>
  <c r="Q911" i="1"/>
  <c r="Q30" i="1"/>
  <c r="Q198" i="1"/>
  <c r="Q473" i="1"/>
  <c r="Q850" i="1"/>
  <c r="Q735" i="1"/>
  <c r="Q898" i="1"/>
  <c r="Q527" i="1"/>
  <c r="Q137" i="1"/>
  <c r="Q630" i="1"/>
  <c r="Q520" i="1"/>
  <c r="Q37" i="1"/>
  <c r="Q807" i="1"/>
  <c r="Q135" i="1"/>
  <c r="Q452" i="1"/>
  <c r="Q846" i="1"/>
  <c r="Q60" i="1"/>
  <c r="Q948" i="1"/>
  <c r="Q663" i="1"/>
  <c r="Q294" i="1"/>
  <c r="Q623" i="1"/>
  <c r="Q327" i="1"/>
  <c r="Q49" i="1"/>
  <c r="Q324" i="1"/>
  <c r="Q666" i="1"/>
  <c r="Q766" i="1"/>
  <c r="Q245" i="1"/>
  <c r="Q648" i="1"/>
  <c r="Q357" i="1"/>
  <c r="Q799" i="1"/>
  <c r="Q951" i="1"/>
  <c r="Q981" i="1"/>
  <c r="Q289" i="1"/>
  <c r="Q543" i="1"/>
  <c r="Q991" i="1"/>
  <c r="Q299" i="1"/>
  <c r="Q393" i="1"/>
  <c r="Q656" i="1"/>
  <c r="Q401" i="1"/>
  <c r="Q65" i="1"/>
  <c r="Q187" i="1"/>
  <c r="Q816" i="1"/>
  <c r="Q868" i="1"/>
  <c r="Q413" i="1"/>
  <c r="Q685" i="1"/>
  <c r="Q407" i="1"/>
  <c r="Q112" i="1"/>
  <c r="Q190" i="1"/>
  <c r="Q526" i="1"/>
  <c r="Q68" i="1"/>
  <c r="Q785" i="1"/>
  <c r="Q336" i="1"/>
  <c r="Q904" i="1"/>
  <c r="Q348" i="1"/>
  <c r="Q638" i="1"/>
  <c r="Q490" i="1"/>
  <c r="Q343" i="1"/>
  <c r="Q253" i="1"/>
  <c r="Q95" i="1"/>
  <c r="Q86" i="1"/>
  <c r="Q601" i="1"/>
  <c r="Q411" i="1"/>
  <c r="Q890" i="1"/>
  <c r="Q604" i="1"/>
  <c r="Q679" i="1"/>
  <c r="Q61" i="1"/>
  <c r="Q390" i="1"/>
  <c r="Q291" i="1"/>
  <c r="Q922" i="1"/>
  <c r="Q311" i="1"/>
  <c r="Q636" i="1"/>
  <c r="Q595" i="1"/>
  <c r="Q892" i="1"/>
  <c r="Q874" i="1"/>
  <c r="Q747" i="1"/>
  <c r="Q705" i="1"/>
  <c r="Q590" i="1"/>
  <c r="Q830" i="1"/>
  <c r="Q675" i="1"/>
  <c r="Q85" i="1"/>
  <c r="Q692" i="1"/>
  <c r="Q914" i="1"/>
  <c r="Q936" i="1"/>
  <c r="Q566" i="1"/>
  <c r="Q919" i="1"/>
  <c r="Q40" i="1"/>
  <c r="Q917" i="1"/>
  <c r="Q372" i="1"/>
  <c r="Q599" i="1"/>
  <c r="Q314" i="1"/>
  <c r="Q808" i="1"/>
  <c r="Q150" i="1"/>
  <c r="Q118" i="1"/>
  <c r="Q237" i="1"/>
  <c r="Q946" i="1"/>
  <c r="Q558" i="1"/>
  <c r="Q524" i="1"/>
  <c r="Q4" i="1"/>
  <c r="Q624" i="1"/>
  <c r="Q91" i="1"/>
  <c r="Q606" i="1"/>
  <c r="Q284" i="1"/>
  <c r="Q715" i="1"/>
  <c r="Q191" i="1"/>
  <c r="Q772" i="1"/>
  <c r="Q423" i="1"/>
  <c r="Q219" i="1"/>
  <c r="Q893" i="1"/>
  <c r="Q344" i="1"/>
  <c r="Q635" i="1"/>
  <c r="Q687" i="1"/>
  <c r="Q694" i="1"/>
  <c r="Q649" i="1"/>
  <c r="Q878" i="1"/>
  <c r="Q724" i="1"/>
  <c r="Q107" i="1"/>
  <c r="Q217" i="1"/>
  <c r="Q600" i="1"/>
  <c r="Q178" i="1"/>
  <c r="Q943" i="1"/>
  <c r="Q974" i="1"/>
  <c r="Q275" i="1"/>
  <c r="Q472" i="1"/>
  <c r="Q35" i="1"/>
  <c r="Q994" i="1"/>
  <c r="Q6" i="1"/>
  <c r="Q15" i="1"/>
  <c r="Q514" i="1"/>
  <c r="Q183" i="1"/>
  <c r="Q661" i="1"/>
  <c r="Q973" i="1"/>
  <c r="Q611" i="1"/>
  <c r="Q549" i="1"/>
  <c r="Q854" i="1"/>
  <c r="Q813" i="1"/>
  <c r="Q859" i="1"/>
  <c r="Q655" i="1"/>
  <c r="Q894" i="1"/>
  <c r="Q704" i="1"/>
  <c r="Q487" i="1"/>
  <c r="Q167" i="1"/>
  <c r="Q726" i="1"/>
  <c r="Q907" i="1"/>
  <c r="Q89" i="1"/>
  <c r="Q235" i="1"/>
  <c r="Q509" i="1"/>
  <c r="Q873" i="1"/>
  <c r="Q929" i="1"/>
  <c r="Q597" i="1"/>
  <c r="Q457" i="1"/>
  <c r="Q889" i="1"/>
  <c r="Q918" i="1"/>
  <c r="Q47" i="1"/>
  <c r="Q592" i="1"/>
  <c r="Q119" i="1"/>
  <c r="Q751" i="1"/>
  <c r="Q66" i="1"/>
  <c r="Q844" i="1"/>
  <c r="Q126" i="1"/>
  <c r="Q53" i="1"/>
  <c r="Q127" i="1"/>
  <c r="Q857" i="1"/>
  <c r="Q375" i="1"/>
  <c r="Q332" i="1"/>
  <c r="Q26" i="1"/>
  <c r="Q825" i="1"/>
  <c r="Q422" i="1"/>
  <c r="Q196" i="1"/>
  <c r="Q14" i="1"/>
  <c r="Q507" i="1"/>
  <c r="Q28" i="1"/>
  <c r="Q8" i="1"/>
  <c r="Q969" i="1"/>
  <c r="Q722" i="1"/>
  <c r="Q880" i="1"/>
  <c r="Q10" i="1"/>
  <c r="Q605" i="1"/>
  <c r="Q172" i="1"/>
  <c r="Q5" i="1"/>
  <c r="Q899" i="1"/>
  <c r="Q384" i="1"/>
  <c r="Q500" i="1"/>
  <c r="Q993" i="1"/>
  <c r="Q848" i="1"/>
  <c r="Q689" i="1"/>
  <c r="Q699" i="1"/>
  <c r="Q59" i="1"/>
  <c r="Q875" i="1"/>
  <c r="Q539" i="1"/>
  <c r="Q274" i="1"/>
  <c r="Q989" i="1"/>
  <c r="Q921" i="1"/>
  <c r="Q574" i="1"/>
  <c r="Q945" i="1"/>
  <c r="Q254" i="1"/>
  <c r="Q562" i="1"/>
  <c r="Q41" i="1"/>
  <c r="Q903" i="1"/>
  <c r="Q734" i="1"/>
  <c r="Q12" i="1"/>
  <c r="Q933" i="1"/>
  <c r="Q353" i="1"/>
  <c r="Q821" i="1"/>
  <c r="Q725" i="1"/>
  <c r="Q800" i="1"/>
  <c r="Q149" i="1"/>
  <c r="Q771" i="1"/>
  <c r="Q445" i="1"/>
  <c r="Q72" i="1"/>
  <c r="Q693" i="1"/>
  <c r="Q579" i="1"/>
  <c r="Q671" i="1"/>
  <c r="Q71" i="1"/>
  <c r="Q677" i="1"/>
  <c r="Q858" i="1"/>
  <c r="Q546" i="1"/>
  <c r="Q338" i="1"/>
  <c r="Q64" i="1"/>
  <c r="Q437" i="1"/>
  <c r="Q99" i="1"/>
  <c r="Q569" i="1"/>
  <c r="Q140" i="1"/>
  <c r="Q962" i="1"/>
  <c r="Q63" i="1"/>
  <c r="Q46" i="1"/>
  <c r="Q660" i="1"/>
  <c r="Q986" i="1"/>
  <c r="Q582" i="1"/>
  <c r="Q492" i="1"/>
  <c r="Q703" i="1"/>
  <c r="Q62" i="1"/>
  <c r="Q961" i="1"/>
  <c r="Q761" i="1"/>
  <c r="Q702" i="1"/>
  <c r="Q742" i="1"/>
  <c r="Q953" i="1"/>
  <c r="Q44" i="1"/>
  <c r="Q765" i="1"/>
  <c r="Q97" i="1"/>
  <c r="Q959" i="1"/>
  <c r="Q182" i="1"/>
  <c r="Q494" i="1"/>
  <c r="Q55" i="1"/>
  <c r="Q367" i="1"/>
  <c r="Q518" i="1"/>
  <c r="L367" i="1"/>
  <c r="L55" i="1"/>
  <c r="L494" i="1"/>
  <c r="L182" i="1"/>
  <c r="L959" i="1"/>
  <c r="L97" i="1"/>
  <c r="L765" i="1"/>
  <c r="L44" i="1"/>
  <c r="L953" i="1"/>
  <c r="L742" i="1"/>
  <c r="L702" i="1"/>
  <c r="L761" i="1"/>
  <c r="L961" i="1"/>
  <c r="L62" i="1"/>
  <c r="L703" i="1"/>
  <c r="L492" i="1"/>
  <c r="L582" i="1"/>
  <c r="L986" i="1"/>
  <c r="L660" i="1"/>
  <c r="L46" i="1"/>
  <c r="L63" i="1"/>
  <c r="L962" i="1"/>
  <c r="L140" i="1"/>
  <c r="L569" i="1"/>
  <c r="L99" i="1"/>
  <c r="L437" i="1"/>
  <c r="L64" i="1"/>
  <c r="L338" i="1"/>
  <c r="L546" i="1"/>
  <c r="L858" i="1"/>
  <c r="L677" i="1"/>
  <c r="L71" i="1"/>
  <c r="L671" i="1"/>
  <c r="L579" i="1"/>
  <c r="L693" i="1"/>
  <c r="L72" i="1"/>
  <c r="L445" i="1"/>
  <c r="L771" i="1"/>
  <c r="L149" i="1"/>
  <c r="L800" i="1"/>
  <c r="L725" i="1"/>
  <c r="L821" i="1"/>
  <c r="L353" i="1"/>
  <c r="L933" i="1"/>
  <c r="L12" i="1"/>
  <c r="L734" i="1"/>
  <c r="L903" i="1"/>
  <c r="L41" i="1"/>
  <c r="L562" i="1"/>
  <c r="L254" i="1"/>
  <c r="L945" i="1"/>
  <c r="L574" i="1"/>
  <c r="L921" i="1"/>
  <c r="L989" i="1"/>
  <c r="L274" i="1"/>
  <c r="L539" i="1"/>
  <c r="L875" i="1"/>
  <c r="L59" i="1"/>
  <c r="L699" i="1"/>
  <c r="L689" i="1"/>
  <c r="L848" i="1"/>
  <c r="L993" i="1"/>
  <c r="L500" i="1"/>
  <c r="L384" i="1"/>
  <c r="L899" i="1"/>
  <c r="L5" i="1"/>
  <c r="L172" i="1"/>
  <c r="L605" i="1"/>
  <c r="L10" i="1"/>
  <c r="L880" i="1"/>
  <c r="L722" i="1"/>
  <c r="L969" i="1"/>
  <c r="L8" i="1"/>
  <c r="L28" i="1"/>
  <c r="L507" i="1"/>
  <c r="L14" i="1"/>
  <c r="L196" i="1"/>
  <c r="L422" i="1"/>
  <c r="L825" i="1"/>
  <c r="L26" i="1"/>
  <c r="L332" i="1"/>
  <c r="L375" i="1"/>
  <c r="L857" i="1"/>
  <c r="L127" i="1"/>
  <c r="L53" i="1"/>
  <c r="L126" i="1"/>
  <c r="L844" i="1"/>
  <c r="L66" i="1"/>
  <c r="L751" i="1"/>
  <c r="L119" i="1"/>
  <c r="L592" i="1"/>
  <c r="L47" i="1"/>
  <c r="L918" i="1"/>
  <c r="L889" i="1"/>
  <c r="L457" i="1"/>
  <c r="L597" i="1"/>
  <c r="L929" i="1"/>
  <c r="L873" i="1"/>
  <c r="L509" i="1"/>
  <c r="L235" i="1"/>
  <c r="L89" i="1"/>
  <c r="L907" i="1"/>
  <c r="L726" i="1"/>
  <c r="L167" i="1"/>
  <c r="L487" i="1"/>
  <c r="L704" i="1"/>
  <c r="L894" i="1"/>
  <c r="L655" i="1"/>
  <c r="L859" i="1"/>
  <c r="L813" i="1"/>
  <c r="L854" i="1"/>
  <c r="L549" i="1"/>
  <c r="L611" i="1"/>
  <c r="L973" i="1"/>
  <c r="L661" i="1"/>
  <c r="L183" i="1"/>
  <c r="L514" i="1"/>
  <c r="L15" i="1"/>
  <c r="L6" i="1"/>
  <c r="L994" i="1"/>
  <c r="L35" i="1"/>
  <c r="L472" i="1"/>
  <c r="L275" i="1"/>
  <c r="L974" i="1"/>
  <c r="L943" i="1"/>
  <c r="L178" i="1"/>
  <c r="L600" i="1"/>
  <c r="L217" i="1"/>
  <c r="L107" i="1"/>
  <c r="L724" i="1"/>
  <c r="L878" i="1"/>
  <c r="L649" i="1"/>
  <c r="L694" i="1"/>
  <c r="L687" i="1"/>
  <c r="L635" i="1"/>
  <c r="L344" i="1"/>
  <c r="L893" i="1"/>
  <c r="L219" i="1"/>
  <c r="L423" i="1"/>
  <c r="L772" i="1"/>
  <c r="L191" i="1"/>
  <c r="L715" i="1"/>
  <c r="L284" i="1"/>
  <c r="L606" i="1"/>
  <c r="L91" i="1"/>
  <c r="L624" i="1"/>
  <c r="L4" i="1"/>
  <c r="L524" i="1"/>
  <c r="L558" i="1"/>
  <c r="L946" i="1"/>
  <c r="L237" i="1"/>
  <c r="L118" i="1"/>
  <c r="L150" i="1"/>
  <c r="L808" i="1"/>
  <c r="L314" i="1"/>
  <c r="L599" i="1"/>
  <c r="L372" i="1"/>
  <c r="L917" i="1"/>
  <c r="L40" i="1"/>
  <c r="L919" i="1"/>
  <c r="L566" i="1"/>
  <c r="L936" i="1"/>
  <c r="L914" i="1"/>
  <c r="L692" i="1"/>
  <c r="L85" i="1"/>
  <c r="L675" i="1"/>
  <c r="L830" i="1"/>
  <c r="L590" i="1"/>
  <c r="L705" i="1"/>
  <c r="L747" i="1"/>
  <c r="L874" i="1"/>
  <c r="L892" i="1"/>
  <c r="L595" i="1"/>
  <c r="L636" i="1"/>
  <c r="L311" i="1"/>
  <c r="L922" i="1"/>
  <c r="L291" i="1"/>
  <c r="L390" i="1"/>
  <c r="L61" i="1"/>
  <c r="L679" i="1"/>
  <c r="L604" i="1"/>
  <c r="L890" i="1"/>
  <c r="L411" i="1"/>
  <c r="L601" i="1"/>
  <c r="L86" i="1"/>
  <c r="L95" i="1"/>
  <c r="L253" i="1"/>
  <c r="L343" i="1"/>
  <c r="L490" i="1"/>
  <c r="L638" i="1"/>
  <c r="L348" i="1"/>
  <c r="L904" i="1"/>
  <c r="L336" i="1"/>
  <c r="L785" i="1"/>
  <c r="L68" i="1"/>
  <c r="L526" i="1"/>
  <c r="L190" i="1"/>
  <c r="L112" i="1"/>
  <c r="L407" i="1"/>
  <c r="L685" i="1"/>
  <c r="L413" i="1"/>
  <c r="L868" i="1"/>
  <c r="L816" i="1"/>
  <c r="L187" i="1"/>
  <c r="L65" i="1"/>
  <c r="L401" i="1"/>
  <c r="L656" i="1"/>
  <c r="L393" i="1"/>
  <c r="L299" i="1"/>
  <c r="L991" i="1"/>
  <c r="L543" i="1"/>
  <c r="L289" i="1"/>
  <c r="L981" i="1"/>
  <c r="L951" i="1"/>
  <c r="L799" i="1"/>
  <c r="L357" i="1"/>
  <c r="L648" i="1"/>
  <c r="L245" i="1"/>
  <c r="L766" i="1"/>
  <c r="L666" i="1"/>
  <c r="L324" i="1"/>
  <c r="L49" i="1"/>
  <c r="L327" i="1"/>
  <c r="L623" i="1"/>
  <c r="L294" i="1"/>
  <c r="L663" i="1"/>
  <c r="L948" i="1"/>
  <c r="L60" i="1"/>
  <c r="L846" i="1"/>
  <c r="L452" i="1"/>
  <c r="L135" i="1"/>
  <c r="L807" i="1"/>
  <c r="L37" i="1"/>
  <c r="L520" i="1"/>
  <c r="L630" i="1"/>
  <c r="L137" i="1"/>
  <c r="L527" i="1"/>
  <c r="L898" i="1"/>
  <c r="L735" i="1"/>
  <c r="L850" i="1"/>
  <c r="L473" i="1"/>
  <c r="L198" i="1"/>
  <c r="L30" i="1"/>
  <c r="L911" i="1"/>
  <c r="L331" i="1"/>
  <c r="L676" i="1"/>
  <c r="L334" i="1"/>
  <c r="L629" i="1"/>
  <c r="L463" i="1"/>
  <c r="L778" i="1"/>
  <c r="L351" i="1"/>
  <c r="L976" i="1"/>
  <c r="L628" i="1"/>
  <c r="L856" i="1"/>
  <c r="L708" i="1"/>
  <c r="L467" i="1"/>
  <c r="L975" i="1"/>
  <c r="L895" i="1"/>
  <c r="L259" i="1"/>
  <c r="L557" i="1"/>
  <c r="L166" i="1"/>
  <c r="L908" i="1"/>
  <c r="L466" i="1"/>
  <c r="L81" i="1"/>
  <c r="L397" i="1"/>
  <c r="L698" i="1"/>
  <c r="L931" i="1"/>
  <c r="L21" i="1"/>
  <c r="L335" i="1"/>
  <c r="L356" i="1"/>
  <c r="L385" i="1"/>
  <c r="L465" i="1"/>
  <c r="L133" i="1"/>
  <c r="L739" i="1"/>
  <c r="L719" i="1"/>
  <c r="L667" i="1"/>
  <c r="L806" i="1"/>
  <c r="L754" i="1"/>
  <c r="L896" i="1"/>
  <c r="L938" i="1"/>
  <c r="L517" i="1"/>
  <c r="L261" i="1"/>
  <c r="L897" i="1"/>
  <c r="L424" i="1"/>
  <c r="L820" i="1"/>
  <c r="L82" i="1"/>
  <c r="L80" i="1"/>
  <c r="L132" i="1"/>
  <c r="L161" i="1"/>
  <c r="L455" i="1"/>
  <c r="L935" i="1"/>
  <c r="L779" i="1"/>
  <c r="L76" i="1"/>
  <c r="L506" i="1"/>
  <c r="L680" i="1"/>
  <c r="L459" i="1"/>
  <c r="L220" i="1"/>
  <c r="L257" i="1"/>
  <c r="L544" i="1"/>
  <c r="L710" i="1"/>
  <c r="L924" i="1"/>
  <c r="L992" i="1"/>
  <c r="L905" i="1"/>
  <c r="L522" i="1"/>
  <c r="L641" i="1"/>
  <c r="L696" i="1"/>
  <c r="L949" i="1"/>
  <c r="L613" i="1"/>
  <c r="L750" i="1"/>
  <c r="L746" i="1"/>
  <c r="L374" i="1"/>
  <c r="L11" i="1"/>
  <c r="L273" i="1"/>
  <c r="L788" i="1"/>
  <c r="L541" i="1"/>
  <c r="L644" i="1"/>
  <c r="L915" i="1"/>
  <c r="L958" i="1"/>
  <c r="L366" i="1"/>
  <c r="L69" i="1"/>
  <c r="L567" i="1"/>
  <c r="L916" i="1"/>
  <c r="L731" i="1"/>
  <c r="L56" i="1"/>
  <c r="L781" i="1"/>
  <c r="L773" i="1"/>
  <c r="L24" i="1"/>
  <c r="L430" i="1"/>
  <c r="L970" i="1"/>
  <c r="L337" i="1"/>
  <c r="L732" i="1"/>
  <c r="L645" i="1"/>
  <c r="L464" i="1"/>
  <c r="L534" i="1"/>
  <c r="L339" i="1"/>
  <c r="L711" i="1"/>
  <c r="L139" i="1"/>
  <c r="L833" i="1"/>
  <c r="L92" i="1"/>
  <c r="L39" i="1"/>
  <c r="L818" i="1"/>
  <c r="L802" i="1"/>
  <c r="L939" i="1"/>
  <c r="L304" i="1"/>
  <c r="L345" i="1"/>
  <c r="L841" i="1"/>
  <c r="L163" i="1"/>
  <c r="L690" i="1"/>
  <c r="L226" i="1"/>
  <c r="L888" i="1"/>
  <c r="L382" i="1"/>
  <c r="L483" i="1"/>
  <c r="L281" i="1"/>
  <c r="L632" i="1"/>
  <c r="L902" i="1"/>
  <c r="L944" i="1"/>
  <c r="L882" i="1"/>
  <c r="L446" i="1"/>
  <c r="L941" i="1"/>
  <c r="L714" i="1"/>
  <c r="L733" i="1"/>
  <c r="L673" i="1"/>
  <c r="L312" i="1"/>
  <c r="L379" i="1"/>
  <c r="L665" i="1"/>
  <c r="L784" i="1"/>
  <c r="L214" i="1"/>
  <c r="L276" i="1"/>
  <c r="L330" i="1"/>
  <c r="L792" i="1"/>
  <c r="L73" i="1"/>
  <c r="L244" i="1"/>
  <c r="L964" i="1"/>
  <c r="L51" i="1"/>
  <c r="L57" i="1"/>
  <c r="L43" i="1"/>
  <c r="L138" i="1"/>
  <c r="L618" i="1"/>
  <c r="L461" i="1"/>
  <c r="L90" i="1"/>
  <c r="L786" i="1"/>
  <c r="L965" i="1"/>
  <c r="L764" i="1"/>
  <c r="L302" i="1"/>
  <c r="L234" i="1"/>
  <c r="L434" i="1"/>
  <c r="L568" i="1"/>
  <c r="L979" i="1"/>
  <c r="L768" i="1"/>
  <c r="L983" i="1"/>
  <c r="L790" i="1"/>
  <c r="L513" i="1"/>
  <c r="L201" i="1"/>
  <c r="L242" i="1"/>
  <c r="L67" i="1"/>
  <c r="L950" i="1"/>
  <c r="L45" i="1"/>
  <c r="L268" i="1"/>
  <c r="L224" i="1"/>
  <c r="L400" i="1"/>
  <c r="L192" i="1"/>
  <c r="L270" i="1"/>
  <c r="L280" i="1"/>
  <c r="L615" i="1"/>
  <c r="L350" i="1"/>
  <c r="L845" i="1"/>
  <c r="L988" i="1"/>
  <c r="L793" i="1"/>
  <c r="L870" i="1"/>
  <c r="L804" i="1"/>
  <c r="L292" i="1"/>
  <c r="L388" i="1"/>
  <c r="L596" i="1"/>
  <c r="L826" i="1"/>
  <c r="L233" i="1"/>
  <c r="L221" i="1"/>
  <c r="L189" i="1"/>
  <c r="L591" i="1"/>
  <c r="L151" i="1"/>
  <c r="L828" i="1"/>
  <c r="L867" i="1"/>
  <c r="L843" i="1"/>
  <c r="L932" i="1"/>
  <c r="L442" i="1"/>
  <c r="L387" i="1"/>
  <c r="L365" i="1"/>
  <c r="L108" i="1"/>
  <c r="L839" i="1"/>
  <c r="L405" i="1"/>
  <c r="L444" i="1"/>
  <c r="L333" i="1"/>
  <c r="L639" i="1"/>
  <c r="L450" i="1"/>
  <c r="L123" i="1"/>
  <c r="L942" i="1"/>
  <c r="L871" i="1"/>
  <c r="L471" i="1"/>
  <c r="L469" i="1"/>
  <c r="L940" i="1"/>
  <c r="L113" i="1"/>
  <c r="L295" i="1"/>
  <c r="L728" i="1"/>
  <c r="L109" i="1"/>
  <c r="L614" i="1"/>
  <c r="L368" i="1"/>
  <c r="L835" i="1"/>
  <c r="L923" i="1"/>
  <c r="L980" i="1"/>
  <c r="L408" i="1"/>
  <c r="L662" i="1"/>
  <c r="L306" i="1"/>
  <c r="L865" i="1"/>
  <c r="L920" i="1"/>
  <c r="L346" i="1"/>
  <c r="L682" i="1"/>
  <c r="L801" i="1"/>
  <c r="L837" i="1"/>
  <c r="L389" i="1"/>
  <c r="L218" i="1"/>
  <c r="L758" i="1"/>
  <c r="L637" i="1"/>
  <c r="L287" i="1"/>
  <c r="L396" i="1"/>
  <c r="L849" i="1"/>
  <c r="L869" i="1"/>
  <c r="L990" i="1"/>
  <c r="L578" i="1"/>
  <c r="L48" i="1"/>
  <c r="L188" i="1"/>
  <c r="L716" i="1"/>
  <c r="L954" i="1"/>
  <c r="L966" i="1"/>
  <c r="L977" i="1"/>
  <c r="L717" i="1"/>
  <c r="L745" i="1"/>
  <c r="L561" i="1"/>
  <c r="L329" i="1"/>
  <c r="L58" i="1"/>
  <c r="L131" i="1"/>
  <c r="L458" i="1"/>
  <c r="L783" i="1"/>
  <c r="L612" i="1"/>
  <c r="L672" i="1"/>
  <c r="L462" i="1"/>
  <c r="L603" i="1"/>
  <c r="L602" i="1"/>
  <c r="L769" i="1"/>
  <c r="L782" i="1"/>
  <c r="L523" i="1"/>
  <c r="L175" i="1"/>
  <c r="L755" i="1"/>
  <c r="L391" i="1"/>
  <c r="L322" i="1"/>
  <c r="L392" i="1"/>
  <c r="L640" i="1"/>
  <c r="L101" i="1"/>
  <c r="L125" i="1"/>
  <c r="L173" i="1"/>
  <c r="L453" i="1"/>
  <c r="L454" i="1"/>
  <c r="L971" i="1"/>
  <c r="L883" i="1"/>
  <c r="L625" i="1"/>
  <c r="L516" i="1"/>
  <c r="L468" i="1"/>
  <c r="L54" i="1"/>
  <c r="L286" i="1"/>
  <c r="L399" i="1"/>
  <c r="L827" i="1"/>
  <c r="L420" i="1"/>
  <c r="L617" i="1"/>
  <c r="L556" i="1"/>
  <c r="L887" i="1"/>
  <c r="L377" i="1"/>
  <c r="L511" i="1"/>
  <c r="L588" i="1"/>
  <c r="L963" i="1"/>
  <c r="L50" i="1"/>
  <c r="L730" i="1"/>
  <c r="L363" i="1"/>
  <c r="L154" i="1"/>
  <c r="L706" i="1"/>
  <c r="L593" i="1"/>
  <c r="L968" i="1"/>
  <c r="L504" i="1"/>
  <c r="L247" i="1"/>
  <c r="L27" i="1"/>
  <c r="L206" i="1"/>
  <c r="L489" i="1"/>
  <c r="L777" i="1"/>
  <c r="L831" i="1"/>
  <c r="L926" i="1"/>
  <c r="L763" i="1"/>
  <c r="L241" i="1"/>
  <c r="L930" i="1"/>
  <c r="L851" i="1"/>
  <c r="L441" i="1"/>
  <c r="L982" i="1"/>
  <c r="L340" i="1"/>
  <c r="L576" i="1"/>
  <c r="L36" i="1"/>
  <c r="L691" i="1"/>
  <c r="L503" i="1"/>
  <c r="L179" i="1"/>
  <c r="L447" i="1"/>
  <c r="L488" i="1"/>
  <c r="L279" i="1"/>
  <c r="L670" i="1"/>
  <c r="L451" i="1"/>
  <c r="L956" i="1"/>
  <c r="L780" i="1"/>
  <c r="L474" i="1"/>
  <c r="L129" i="1"/>
  <c r="L429" i="1"/>
  <c r="L394" i="1"/>
  <c r="L860" i="1"/>
  <c r="L866" i="1"/>
  <c r="L584" i="1"/>
  <c r="L87" i="1"/>
  <c r="L720" i="1"/>
  <c r="L787" i="1"/>
  <c r="L654" i="1"/>
  <c r="L532" i="1"/>
  <c r="L165" i="1"/>
  <c r="L328" i="1"/>
  <c r="L853" i="1"/>
  <c r="L230" i="1"/>
  <c r="L416" i="1"/>
  <c r="L627" i="1"/>
  <c r="L185" i="1"/>
  <c r="L589" i="1"/>
  <c r="L269" i="1"/>
  <c r="L246" i="1"/>
  <c r="L709" i="1"/>
  <c r="L216" i="1"/>
  <c r="L74" i="1"/>
  <c r="L409" i="1"/>
  <c r="L686" i="1"/>
  <c r="L256" i="1"/>
  <c r="L910" i="1"/>
  <c r="L571" i="1"/>
  <c r="L88" i="1"/>
  <c r="L288" i="1"/>
  <c r="L267" i="1"/>
  <c r="L16" i="1"/>
  <c r="L972" i="1"/>
  <c r="L410" i="1"/>
  <c r="L752" i="1"/>
  <c r="L760" i="1"/>
  <c r="L531" i="1"/>
  <c r="L727" i="1"/>
  <c r="L512" i="1"/>
  <c r="L881" i="1"/>
  <c r="L52" i="1"/>
  <c r="L586" i="1"/>
  <c r="L104" i="1"/>
  <c r="L475" i="1"/>
  <c r="L171" i="1"/>
  <c r="L553" i="1"/>
  <c r="L94" i="1"/>
  <c r="L381" i="1"/>
  <c r="L560" i="1"/>
  <c r="L186" i="1"/>
  <c r="L320" i="1"/>
  <c r="L570" i="1"/>
  <c r="L701" i="1"/>
  <c r="L13" i="1"/>
  <c r="L960" i="1"/>
  <c r="L414" i="1"/>
  <c r="L575" i="1"/>
  <c r="L643" i="1"/>
  <c r="L876" i="1"/>
  <c r="L153" i="1"/>
  <c r="L510" i="1"/>
  <c r="L822" i="1"/>
  <c r="L484" i="1"/>
  <c r="L355" i="1"/>
  <c r="L759" i="1"/>
  <c r="L622" i="1"/>
  <c r="L370" i="1"/>
  <c r="L688" i="1"/>
  <c r="L283" i="1"/>
  <c r="L540" i="1"/>
  <c r="L838" i="1"/>
  <c r="L360" i="1"/>
  <c r="L93" i="1"/>
  <c r="L32" i="1"/>
  <c r="L861" i="1"/>
  <c r="L496" i="1"/>
  <c r="L814" i="1"/>
  <c r="L577" i="1"/>
  <c r="L438" i="1"/>
  <c r="L909" i="1"/>
  <c r="L748" i="1"/>
  <c r="L987" i="1"/>
  <c r="L795" i="1"/>
  <c r="L436" i="1"/>
  <c r="L193" i="1"/>
  <c r="L386" i="1"/>
  <c r="L485" i="1"/>
  <c r="L619" i="1"/>
  <c r="L310" i="1"/>
  <c r="L300" i="1"/>
  <c r="L130" i="1"/>
  <c r="L957" i="1"/>
  <c r="L659" i="1"/>
  <c r="L33" i="1"/>
  <c r="L354" i="1"/>
  <c r="L23" i="1"/>
  <c r="L417" i="1"/>
  <c r="L176" i="1"/>
  <c r="L984" i="1"/>
  <c r="L955" i="1"/>
  <c r="L499" i="1"/>
  <c r="L900" i="1"/>
  <c r="L497" i="1"/>
  <c r="L482" i="1"/>
  <c r="L476" i="1"/>
  <c r="L658" i="1"/>
  <c r="L208" i="1"/>
  <c r="L439" i="1"/>
  <c r="L174" i="1"/>
  <c r="L301" i="1"/>
  <c r="L29" i="1"/>
  <c r="L580" i="1"/>
  <c r="L9" i="1"/>
  <c r="L535" i="1"/>
  <c r="L886" i="1"/>
  <c r="L204" i="1"/>
  <c r="L815" i="1"/>
  <c r="L775" i="1"/>
  <c r="L431" i="1"/>
  <c r="L901" i="1"/>
  <c r="L616" i="1"/>
  <c r="L428" i="1"/>
  <c r="L700" i="1"/>
  <c r="L290" i="1"/>
  <c r="L42" i="1"/>
  <c r="L255" i="1"/>
  <c r="L664" i="1"/>
  <c r="L855" i="1"/>
  <c r="L791" i="1"/>
  <c r="L803" i="1"/>
  <c r="L432" i="1"/>
  <c r="L738" i="1"/>
  <c r="L669" i="1"/>
  <c r="L621" i="1"/>
  <c r="L581" i="1"/>
  <c r="L852" i="1"/>
  <c r="L879" i="1"/>
  <c r="L565" i="1"/>
  <c r="L762" i="1"/>
  <c r="L144" i="1"/>
  <c r="L362" i="1"/>
  <c r="L796" i="1"/>
  <c r="L674" i="1"/>
  <c r="L542" i="1"/>
  <c r="L572" i="1"/>
  <c r="L181" i="1"/>
  <c r="L440" i="1"/>
  <c r="L594" i="1"/>
  <c r="L789" i="1"/>
  <c r="L141" i="1"/>
  <c r="L20" i="1"/>
  <c r="L418" i="1"/>
  <c r="L495" i="1"/>
  <c r="L194" i="1"/>
  <c r="L537" i="1"/>
  <c r="L157" i="1"/>
  <c r="L947" i="1"/>
  <c r="L262" i="1"/>
  <c r="L115" i="1"/>
  <c r="L756" i="1"/>
  <c r="L164" i="1"/>
  <c r="L326" i="1"/>
  <c r="L213" i="1"/>
  <c r="L205" i="1"/>
  <c r="L376" i="1"/>
  <c r="L323" i="1"/>
  <c r="L753" i="1"/>
  <c r="L184" i="1"/>
  <c r="L425" i="1"/>
  <c r="L823" i="1"/>
  <c r="L913" i="1"/>
  <c r="L402" i="1"/>
  <c r="L215" i="1"/>
  <c r="L195" i="1"/>
  <c r="L415" i="1"/>
  <c r="L169" i="1"/>
  <c r="L145" i="1"/>
  <c r="L341" i="1"/>
  <c r="L98" i="1"/>
  <c r="L318" i="1"/>
  <c r="L721" i="1"/>
  <c r="L620" i="1"/>
  <c r="L162" i="1"/>
  <c r="L906" i="1"/>
  <c r="L502" i="1"/>
  <c r="L100" i="1"/>
  <c r="L309" i="1"/>
  <c r="L148" i="1"/>
  <c r="L264" i="1"/>
  <c r="L197" i="1"/>
  <c r="L371" i="1"/>
  <c r="L321" i="1"/>
  <c r="L293" i="1"/>
  <c r="L378" i="1"/>
  <c r="L303" i="1"/>
  <c r="L121" i="1"/>
  <c r="L824" i="1"/>
  <c r="L508" i="1"/>
  <c r="L383" i="1"/>
  <c r="L652" i="1"/>
  <c r="L718" i="1"/>
  <c r="L25" i="1"/>
  <c r="L373" i="1"/>
  <c r="L678" i="1"/>
  <c r="L723" i="1"/>
  <c r="L862" i="1"/>
  <c r="L573" i="1"/>
  <c r="L403" i="1"/>
  <c r="L985" i="1"/>
  <c r="L912" i="1"/>
  <c r="L737" i="1"/>
  <c r="L272" i="1"/>
  <c r="L277" i="1"/>
  <c r="L317" i="1"/>
  <c r="L170" i="1"/>
  <c r="L774" i="1"/>
  <c r="L3" i="1"/>
  <c r="L426" i="1"/>
  <c r="L369" i="1"/>
  <c r="L829" i="1"/>
  <c r="L120" i="1"/>
  <c r="L610" i="1"/>
  <c r="L551" i="1"/>
  <c r="L657" i="1"/>
  <c r="L626" i="1"/>
  <c r="L102" i="1"/>
  <c r="L712" i="1"/>
  <c r="L158" i="1"/>
  <c r="L525" i="1"/>
  <c r="L928" i="1"/>
  <c r="L349" i="1"/>
  <c r="L697" i="1"/>
  <c r="L864" i="1"/>
  <c r="L433" i="1"/>
  <c r="L406" i="1"/>
  <c r="L479" i="1"/>
  <c r="L103" i="1"/>
  <c r="L729" i="1"/>
  <c r="L180" i="1"/>
  <c r="L232" i="1"/>
  <c r="L199" i="1"/>
  <c r="L313" i="1"/>
  <c r="L834" i="1"/>
  <c r="L798" i="1"/>
  <c r="L609" i="1"/>
  <c r="L668" i="1"/>
  <c r="L342" i="1"/>
  <c r="L128" i="1"/>
  <c r="L435" i="1"/>
  <c r="L925" i="1"/>
  <c r="L156" i="1"/>
  <c r="L239" i="1"/>
  <c r="L252" i="1"/>
  <c r="L111" i="1"/>
  <c r="L249" i="1"/>
  <c r="L7" i="1"/>
  <c r="L533" i="1"/>
  <c r="L31" i="1"/>
  <c r="L978" i="1"/>
  <c r="L2" i="1"/>
  <c r="L83" i="1"/>
  <c r="L740" i="1"/>
  <c r="L325" i="1"/>
  <c r="L811" i="1"/>
  <c r="L395" i="1"/>
  <c r="L38" i="1"/>
  <c r="L124" i="1"/>
  <c r="L529" i="1"/>
  <c r="L585" i="1"/>
  <c r="L18" i="1"/>
  <c r="L847" i="1"/>
  <c r="L810" i="1"/>
  <c r="L443" i="1"/>
  <c r="L202" i="1"/>
  <c r="L250" i="1"/>
  <c r="L650" i="1"/>
  <c r="L307" i="1"/>
  <c r="L713" i="1"/>
  <c r="L770" i="1"/>
  <c r="L260" i="1"/>
  <c r="L536" i="1"/>
  <c r="L84" i="1"/>
  <c r="L498" i="1"/>
  <c r="L505" i="1"/>
  <c r="L225" i="1"/>
  <c r="L564" i="1"/>
  <c r="L736" i="1"/>
  <c r="L842" i="1"/>
  <c r="L251" i="1"/>
  <c r="L449" i="1"/>
  <c r="L305" i="1"/>
  <c r="L836" i="1"/>
  <c r="L744" i="1"/>
  <c r="L491" i="1"/>
  <c r="L707" i="1"/>
  <c r="L456" i="1"/>
  <c r="L229" i="1"/>
  <c r="L545" i="1"/>
  <c r="L117" i="1"/>
  <c r="L554" i="1"/>
  <c r="L419" i="1"/>
  <c r="L136" i="1"/>
  <c r="L231" i="1"/>
  <c r="L134" i="1"/>
  <c r="L200" i="1"/>
  <c r="L152" i="1"/>
  <c r="L809" i="1"/>
  <c r="L552" i="1"/>
  <c r="L278" i="1"/>
  <c r="L282" i="1"/>
  <c r="L547" i="1"/>
  <c r="L684" i="1"/>
  <c r="L493" i="1"/>
  <c r="L530" i="1"/>
  <c r="L647" i="1"/>
  <c r="L258" i="1"/>
  <c r="L653" i="1"/>
  <c r="L122" i="1"/>
  <c r="L421" i="1"/>
  <c r="L805" i="1"/>
  <c r="L404" i="1"/>
  <c r="L477" i="1"/>
  <c r="L934" i="1"/>
  <c r="L819" i="1"/>
  <c r="L263" i="1"/>
  <c r="L651" i="1"/>
  <c r="L743" i="1"/>
  <c r="L319" i="1"/>
  <c r="L891" i="1"/>
  <c r="L147" i="1"/>
  <c r="L361" i="1"/>
  <c r="L265" i="1"/>
  <c r="L884" i="1"/>
  <c r="L17" i="1"/>
  <c r="L683" i="1"/>
  <c r="L210" i="1"/>
  <c r="L266" i="1"/>
  <c r="L794" i="1"/>
  <c r="L34" i="1"/>
  <c r="L207" i="1"/>
  <c r="L478" i="1"/>
  <c r="L460" i="1"/>
  <c r="L519" i="1"/>
  <c r="L155" i="1"/>
  <c r="L398" i="1"/>
  <c r="L470" i="1"/>
  <c r="L927" i="1"/>
  <c r="L598" i="1"/>
  <c r="L767" i="1"/>
  <c r="L285" i="1"/>
  <c r="L352" i="1"/>
  <c r="L448" i="1"/>
  <c r="L159" i="1"/>
  <c r="L607" i="1"/>
  <c r="L817" i="1"/>
  <c r="L550" i="1"/>
  <c r="L608" i="1"/>
  <c r="L832" i="1"/>
  <c r="L840" i="1"/>
  <c r="L952" i="1"/>
  <c r="L19" i="1"/>
  <c r="L70" i="1"/>
  <c r="L296" i="1"/>
  <c r="L359" i="1"/>
  <c r="L877" i="1"/>
  <c r="L271" i="1"/>
  <c r="L555" i="1"/>
  <c r="L105" i="1"/>
  <c r="L967" i="1"/>
  <c r="L583" i="1"/>
  <c r="L380" i="1"/>
  <c r="L168" i="1"/>
  <c r="L248" i="1"/>
  <c r="L634" i="1"/>
  <c r="L741" i="1"/>
  <c r="L347" i="1"/>
  <c r="L642" i="1"/>
  <c r="L223" i="1"/>
  <c r="L631" i="1"/>
  <c r="L872" i="1"/>
  <c r="L937" i="1"/>
  <c r="L776" i="1"/>
  <c r="L106" i="1"/>
  <c r="L22" i="1"/>
  <c r="L228" i="1"/>
  <c r="L79" i="1"/>
  <c r="L412" i="1"/>
  <c r="L364" i="1"/>
  <c r="L757" i="1"/>
  <c r="L227" i="1"/>
  <c r="L486" i="1"/>
  <c r="L646" i="1"/>
  <c r="L812" i="1"/>
  <c r="L695" i="1"/>
  <c r="L77" i="1"/>
  <c r="L885" i="1"/>
  <c r="L863" i="1"/>
  <c r="L427" i="1"/>
  <c r="L146" i="1"/>
  <c r="L515" i="1"/>
  <c r="L75" i="1"/>
  <c r="L358" i="1"/>
  <c r="L209" i="1"/>
  <c r="L240" i="1"/>
  <c r="L633" i="1"/>
  <c r="L797" i="1"/>
  <c r="L96" i="1"/>
  <c r="L116" i="1"/>
  <c r="L480" i="1"/>
  <c r="L587" i="1"/>
  <c r="L316" i="1"/>
  <c r="L203" i="1"/>
  <c r="L143" i="1"/>
  <c r="L521" i="1"/>
  <c r="L563" i="1"/>
  <c r="L243" i="1"/>
  <c r="L238" i="1"/>
  <c r="L142" i="1"/>
  <c r="L298" i="1"/>
  <c r="L308" i="1"/>
  <c r="L538" i="1"/>
  <c r="L177" i="1"/>
  <c r="L212" i="1"/>
  <c r="L559" i="1"/>
  <c r="L681" i="1"/>
  <c r="L110" i="1"/>
  <c r="L501" i="1"/>
  <c r="L160" i="1"/>
  <c r="L315" i="1"/>
  <c r="L481" i="1"/>
  <c r="L114" i="1"/>
  <c r="L222" i="1"/>
  <c r="L749" i="1"/>
  <c r="L297" i="1"/>
  <c r="L548" i="1"/>
  <c r="L236" i="1"/>
  <c r="L528" i="1"/>
  <c r="L211" i="1"/>
  <c r="L78" i="1"/>
  <c r="L518" i="1"/>
</calcChain>
</file>

<file path=xl/sharedStrings.xml><?xml version="1.0" encoding="utf-8"?>
<sst xmlns="http://schemas.openxmlformats.org/spreadsheetml/2006/main" count="5943" uniqueCount="4610">
  <si>
    <t>S.no</t>
  </si>
  <si>
    <t>Major Class_Class_Subclass_PMDB ID_Metabolite</t>
  </si>
  <si>
    <t>Metabolite</t>
  </si>
  <si>
    <t>KEGG ID</t>
  </si>
  <si>
    <t>PMDB ID</t>
  </si>
  <si>
    <t>Calc. MW</t>
  </si>
  <si>
    <t>RT [min]</t>
  </si>
  <si>
    <t>Area (Max.)</t>
  </si>
  <si>
    <t>Reference Ion</t>
  </si>
  <si>
    <t>MolecularMass</t>
  </si>
  <si>
    <t>m/z</t>
  </si>
  <si>
    <t>Delta mass di</t>
  </si>
  <si>
    <t>Formula</t>
  </si>
  <si>
    <t xml:space="preserve">Secondary  Metabolites_Phenolics
_Benzofurans
_PMDB00542_Mulberrofuran A
</t>
  </si>
  <si>
    <t xml:space="preserve">Mulberrofuran A
</t>
  </si>
  <si>
    <t xml:space="preserve"> 
C08846</t>
  </si>
  <si>
    <t>PMDB00542</t>
  </si>
  <si>
    <t>[M-H]-1</t>
  </si>
  <si>
    <t>C24 H40 O4</t>
  </si>
  <si>
    <t>Secondary  Metabolites_Alkaloids_Other Alkaloids_ 
PMDB00318_Gentianaine</t>
  </si>
  <si>
    <t>Gentianaine</t>
  </si>
  <si>
    <t xml:space="preserve"> 
C09960</t>
  </si>
  <si>
    <t xml:space="preserve"> 
PMDB00318</t>
  </si>
  <si>
    <t>[M+H]+1</t>
  </si>
  <si>
    <t/>
  </si>
  <si>
    <t>Secondary  Metabolites_Phenolics
_Anthocyanins
_PMDB00531_Sulphuretin</t>
  </si>
  <si>
    <t>Sulphuretin</t>
  </si>
  <si>
    <t xml:space="preserve"> 
C08730</t>
  </si>
  <si>
    <t>PMDB00531</t>
  </si>
  <si>
    <t>C10 H18 N6 O3</t>
  </si>
  <si>
    <t>Secondary  Metabolites_Phenolics
_Quinones
_PMDB00821_Embelin</t>
  </si>
  <si>
    <t>Embelin</t>
  </si>
  <si>
    <t>C10342</t>
  </si>
  <si>
    <t>PMDB00821</t>
  </si>
  <si>
    <t>C16 H27 N2 O P</t>
  </si>
  <si>
    <t>Secondary  Metabolites_Phenolics
_Isoflavonoids
_PMDB00879_Kievitone</t>
  </si>
  <si>
    <t>Kievitone</t>
  </si>
  <si>
    <t xml:space="preserve"> 
C01590</t>
  </si>
  <si>
    <t>PMDB00879</t>
  </si>
  <si>
    <t>C19 H36 N2 O4</t>
  </si>
  <si>
    <t>Secondary  Metabolites_Alkaloids_Other Alkaloids_ 
PMDB00301_Sauroxine</t>
  </si>
  <si>
    <t>Sauroxine</t>
  </si>
  <si>
    <t xml:space="preserve"> 
C09895</t>
  </si>
  <si>
    <t xml:space="preserve"> 
PMDB00301</t>
  </si>
  <si>
    <t>C18 H26 O2</t>
  </si>
  <si>
    <t>Secondary  Metabolites_Alkaloids_Betalain Alkaloids_PMDB00062_Gomphrenin-I</t>
  </si>
  <si>
    <t>Gomphrenin-I</t>
  </si>
  <si>
    <t>C08544</t>
  </si>
  <si>
    <t>PMDB00062</t>
  </si>
  <si>
    <t>C30 H52 N2 O3 P2</t>
  </si>
  <si>
    <t>Secondary  Metabolites_Alkaloids_Other Alkaloids_PMDB00495_Aromoline</t>
  </si>
  <si>
    <t>Aromoline</t>
  </si>
  <si>
    <t>C06514</t>
  </si>
  <si>
    <t>PMDB00495</t>
  </si>
  <si>
    <t>C40 H50 O4</t>
  </si>
  <si>
    <t>Secondary  Metabolites_Alkaloids_Other Alkaloids_PMDB00466_Physoperuvine</t>
  </si>
  <si>
    <t>Physoperuvine</t>
  </si>
  <si>
    <t xml:space="preserve"> 
C10864</t>
  </si>
  <si>
    <t>PMDB00466</t>
  </si>
  <si>
    <t>Secondary  Metabolites_Phenolics
_Minor Flavonoids_ 
PMDB00566_Epicatechin</t>
  </si>
  <si>
    <t>Epicatechin</t>
  </si>
  <si>
    <t xml:space="preserve"> 
C09728</t>
  </si>
  <si>
    <t xml:space="preserve"> 
PMDB00566</t>
  </si>
  <si>
    <t>C15 H26 N6</t>
  </si>
  <si>
    <t>Secondary  Metabolites_Alkaloids_Indole Alkaloids_PMDB00193_Coronaridine</t>
  </si>
  <si>
    <t>Coronaridine</t>
  </si>
  <si>
    <t xml:space="preserve"> 
C09139</t>
  </si>
  <si>
    <t>PMDB00193</t>
  </si>
  <si>
    <t>C19 H34 N2 O3</t>
  </si>
  <si>
    <t>Secondary  Metabolites_Phenolics
_Tannins
_PMDB00921_Afzelechin-(4alpha-&gt;8)-afzelechin</t>
  </si>
  <si>
    <t>Afzelechin-(4alpha-&gt;8)-afzelechin</t>
  </si>
  <si>
    <t xml:space="preserve"> 
C10209</t>
  </si>
  <si>
    <t>PMDB00921</t>
  </si>
  <si>
    <t>C33 H54 O6</t>
  </si>
  <si>
    <t>Secondary  Metabolites_Phenolics
_Isoflavonoids
_PMDB00872_Hildecarpin</t>
  </si>
  <si>
    <t>Hildecarpin</t>
  </si>
  <si>
    <t xml:space="preserve"> 
C10424</t>
  </si>
  <si>
    <t>PMDB00872</t>
  </si>
  <si>
    <t>C16 H30 N2 O5</t>
  </si>
  <si>
    <t>Secondary  Metabolites_Phenolics
_Minor Flavonoids_PMDB00594_Poncirin</t>
  </si>
  <si>
    <t>Poncirin</t>
  </si>
  <si>
    <t xml:space="preserve"> 
C09830</t>
  </si>
  <si>
    <t>PMDB00594</t>
  </si>
  <si>
    <t>Secondary  Metabolites_Alkaloids_Betalain Alkaloids_ 
PMDB00076_ 
Muscapurpurin</t>
  </si>
  <si>
    <t xml:space="preserve"> 
Muscapurpurin</t>
  </si>
  <si>
    <t xml:space="preserve"> 
C08563</t>
  </si>
  <si>
    <t xml:space="preserve"> 
PMDB00076</t>
  </si>
  <si>
    <t>C22 H43 O3 P S</t>
  </si>
  <si>
    <t>Secondary  Metabolites_Alkaloids_Indole Alkaloids_PMDB00248_Rescinnamine</t>
  </si>
  <si>
    <t>Rescinnamine</t>
  </si>
  <si>
    <t xml:space="preserve"> 
C06540</t>
  </si>
  <si>
    <t>PMDB00248</t>
  </si>
  <si>
    <t>C27 H59 N10 O5 P</t>
  </si>
  <si>
    <t>Secondary  Metabolites_Alkaloids_Other Alkaloids_ 
PMDB00387_ 
Cadiamine</t>
  </si>
  <si>
    <t xml:space="preserve"> 
Cadiamine</t>
  </si>
  <si>
    <t xml:space="preserve"> 
C10756</t>
  </si>
  <si>
    <t xml:space="preserve"> 
PMDB00387</t>
  </si>
  <si>
    <t>C9 H18 N10 O</t>
  </si>
  <si>
    <t>Secondary  Metabolites_Phenolics
_Quinones
_PMDB00838_Morindone</t>
  </si>
  <si>
    <t>Morindone</t>
  </si>
  <si>
    <t xml:space="preserve"> 
C10376</t>
  </si>
  <si>
    <t>PMDB00838</t>
  </si>
  <si>
    <t>Secondary  Metabolites_Phenolics
_Isoflavonoids
_PMDB00902_Pseudobaptigenin</t>
  </si>
  <si>
    <t>Pseudobaptigenin</t>
  </si>
  <si>
    <t>C10522</t>
  </si>
  <si>
    <t>PMDB00902</t>
  </si>
  <si>
    <t>C9 H26 N6 S2</t>
  </si>
  <si>
    <t>Hormones_Gibberellins
_Gibberellins
_PMDB00972_Gibberellin A15</t>
  </si>
  <si>
    <t>Gibberellin A15</t>
  </si>
  <si>
    <t xml:space="preserve"> 
C14162</t>
  </si>
  <si>
    <t>PMDB00972</t>
  </si>
  <si>
    <t>Secondary  Metabolites_Phenolics
_Quinones
_PMDB00801_Barbaloin</t>
  </si>
  <si>
    <t>Barbaloin</t>
  </si>
  <si>
    <t>C10305</t>
  </si>
  <si>
    <t>PMDB00801</t>
  </si>
  <si>
    <t>Secondary  Metabolites_Alkaloids_Betalain Alkaloids_PMDB00058_Betanin</t>
  </si>
  <si>
    <t>Betanin</t>
  </si>
  <si>
    <t xml:space="preserve">C08540   </t>
  </si>
  <si>
    <t>PMDB00058</t>
  </si>
  <si>
    <t>C26 H50 N2 O10</t>
  </si>
  <si>
    <t>Secondary  Metabolites_Alkaloids_Quinazoline Alkaloids_PMDB00364_Vasicinone</t>
  </si>
  <si>
    <t>Vasicinone</t>
  </si>
  <si>
    <t xml:space="preserve"> 
C10744</t>
  </si>
  <si>
    <t>PMDB00364</t>
  </si>
  <si>
    <t>[M+ACN+Na]+1</t>
  </si>
  <si>
    <t>C8 H18 N4 O2</t>
  </si>
  <si>
    <t>Secondary  Metabolites_Phenolics
_Quinones
_PMDB00829_ 
Isodiospyrin</t>
  </si>
  <si>
    <t xml:space="preserve"> 
Isodiospyrin</t>
  </si>
  <si>
    <t xml:space="preserve"> 
C10358</t>
  </si>
  <si>
    <t>PMDB00829</t>
  </si>
  <si>
    <t>C18 H34 N2 O6</t>
  </si>
  <si>
    <t>Secondary  Metabolites_Alkaloids_Betalain Alkaloids_ 
PMDB00078_ 
Portulacaxanthin II</t>
  </si>
  <si>
    <t xml:space="preserve"> 
Portulacaxanthin II</t>
  </si>
  <si>
    <t xml:space="preserve"> 
C08565</t>
  </si>
  <si>
    <t xml:space="preserve"> 
PMDB00078</t>
  </si>
  <si>
    <t>Secondary  Metabolites_Phenolics
_Isoflavonoids
_PMDB00878_Irisolidone</t>
  </si>
  <si>
    <t>Irisolidone</t>
  </si>
  <si>
    <t xml:space="preserve"> 
C10471</t>
  </si>
  <si>
    <t>PMDB00878</t>
  </si>
  <si>
    <t>[M+FA-H]-1</t>
  </si>
  <si>
    <t>C9 H22 Cl N4 P3</t>
  </si>
  <si>
    <t>Secondary  Metabolites_Others_Others_PMDB00040_Caribine</t>
  </si>
  <si>
    <t>Caribine</t>
  </si>
  <si>
    <t xml:space="preserve"> 
C08522</t>
  </si>
  <si>
    <t>PMDB00040</t>
  </si>
  <si>
    <t>C18 H32 O P2</t>
  </si>
  <si>
    <t>Secondary  Metabolites_Alkaloids_Betalain Alkaloids_PMDB00070_Miraxanthin-II</t>
  </si>
  <si>
    <t>Miraxanthin-II</t>
  </si>
  <si>
    <t xml:space="preserve"> 
C08555</t>
  </si>
  <si>
    <t>PMDB00070</t>
  </si>
  <si>
    <t>[M+Na]+1</t>
  </si>
  <si>
    <t>C10 H26 N6 O6</t>
  </si>
  <si>
    <t>Secondary  Metabolites_Others_Others_PMDB00052_Narwedine</t>
  </si>
  <si>
    <t>Narwedine</t>
  </si>
  <si>
    <t>C08534</t>
  </si>
  <si>
    <t>PMDB00052</t>
  </si>
  <si>
    <t>[M+H-H2O]+1</t>
  </si>
  <si>
    <t>Secondary  Metabolites_Terpenoids_Monoterpenoids_PMDB00661_Pinocarvone</t>
  </si>
  <si>
    <t>Pinocarvone</t>
  </si>
  <si>
    <t xml:space="preserve"> 
C09884</t>
  </si>
  <si>
    <t>PMDB00661</t>
  </si>
  <si>
    <t>Secondary  Metabolites_Phenolics
_Quinones
_PMDB00847_Rapanone</t>
  </si>
  <si>
    <t>Rapanone</t>
  </si>
  <si>
    <t xml:space="preserve"> 
C10399</t>
  </si>
  <si>
    <t>PMDB00847</t>
  </si>
  <si>
    <t>C19 H30 O4</t>
  </si>
  <si>
    <t>Secondary  Metabolites_Alkaloids_Indole Alkaloids_ 
PMDB00154_Akuammicine</t>
  </si>
  <si>
    <t>Akuammicine</t>
  </si>
  <si>
    <t xml:space="preserve"> 
C09025</t>
  </si>
  <si>
    <t xml:space="preserve"> 
PMDB00154</t>
  </si>
  <si>
    <t>C12 H30 N6 O2 S</t>
  </si>
  <si>
    <t>Secondary  Metabolites_Phenolics
_Minor Flavonoids_PMDB00562_Catechin</t>
  </si>
  <si>
    <t>Catechin</t>
  </si>
  <si>
    <t xml:space="preserve"> 
C06562</t>
  </si>
  <si>
    <t>PMDB00562</t>
  </si>
  <si>
    <t>C13 H31 N4 O P</t>
  </si>
  <si>
    <t>Secondary  Metabolites_Alkaloids_Betalain Alkaloids_PMDB00081_Vulgaxanthin-I</t>
  </si>
  <si>
    <t>Vulgaxanthin-I</t>
  </si>
  <si>
    <t xml:space="preserve"> 
C08568</t>
  </si>
  <si>
    <t>PMDB00081</t>
  </si>
  <si>
    <t>C11 H34 N9 O P</t>
  </si>
  <si>
    <t>Secondary  Metabolites_Terpenoids_Phytosterols_ 
PMDB00725_Ergosterol</t>
  </si>
  <si>
    <t>Ergosterol</t>
  </si>
  <si>
    <t xml:space="preserve"> 
C01694</t>
  </si>
  <si>
    <t xml:space="preserve"> 
PMDB00725</t>
  </si>
  <si>
    <t>C13 H37 N10 O2 P</t>
  </si>
  <si>
    <t>Secondary  Metabolites_Alkaloids_Indole Alkaloids_PMDB00208_Ergosine</t>
  </si>
  <si>
    <t>Ergosine</t>
  </si>
  <si>
    <t>C09167</t>
  </si>
  <si>
    <t>PMDB00208</t>
  </si>
  <si>
    <t>C26 H53 N5 O7</t>
  </si>
  <si>
    <t>Secondary  Metabolites_Phenolics
_Quinones
_PMDB00816_Diospyrin</t>
  </si>
  <si>
    <t>Diospyrin</t>
  </si>
  <si>
    <t>C10332</t>
  </si>
  <si>
    <t>PMDB00816</t>
  </si>
  <si>
    <t>C20 H41 P3</t>
  </si>
  <si>
    <t>Secondary  Metabolites_Phenolics
_Quinones
_PMDB00840_Norobtusifolin</t>
  </si>
  <si>
    <t>Norobtusifolin</t>
  </si>
  <si>
    <t xml:space="preserve"> 
C10379</t>
  </si>
  <si>
    <t>PMDB00840</t>
  </si>
  <si>
    <t>Secondary  Metabolites_Alkaloids_Indole Alkaloids_PMDB00207_Ergonovine</t>
  </si>
  <si>
    <t>Ergonovine</t>
  </si>
  <si>
    <t xml:space="preserve"> 
C07543</t>
  </si>
  <si>
    <t>PMDB00207</t>
  </si>
  <si>
    <t>C15 H31 N7 O</t>
  </si>
  <si>
    <t>Secondary  Metabolites_Phenolics
_Minor Flavonoids_PMDB00554_Dihydromyricetin</t>
  </si>
  <si>
    <t>Dihydromyricetin</t>
  </si>
  <si>
    <t xml:space="preserve"> 
C02906</t>
  </si>
  <si>
    <t>PMDB00554</t>
  </si>
  <si>
    <t>C17 H37 O3 P</t>
  </si>
  <si>
    <t>Secondary  Metabolites_Terpenoids_Diterpenoids_PMDB00617_6-Acetylpicropolin</t>
  </si>
  <si>
    <t>6-Acetylpicropolin</t>
  </si>
  <si>
    <t xml:space="preserve"> 
C09055</t>
  </si>
  <si>
    <t>PMDB00617</t>
  </si>
  <si>
    <t>C24 H47 O2 P3</t>
  </si>
  <si>
    <t xml:space="preserve">Secondary  Metabolites_Phenolics
_Quinones
_PMDB00833_beta-Lapachone
</t>
  </si>
  <si>
    <t xml:space="preserve">beta-Lapachone
</t>
  </si>
  <si>
    <t xml:space="preserve"> 
C10367</t>
  </si>
  <si>
    <t>PMDB00833</t>
  </si>
  <si>
    <t>Secondary  Metabolites_Alkaloids_Indole Alkaloids_PMDB00155_Akuammidine</t>
  </si>
  <si>
    <t>Akuammidine</t>
  </si>
  <si>
    <t xml:space="preserve"> 
C09026</t>
  </si>
  <si>
    <t>PMDB00155</t>
  </si>
  <si>
    <t>C17 H32 N6 O2</t>
  </si>
  <si>
    <t xml:space="preserve">Secondary  Metabolites_Alkaloids_Indole Alkaloids_PMDB00181_Calebassone
</t>
  </si>
  <si>
    <t xml:space="preserve">Calebassone
</t>
  </si>
  <si>
    <t xml:space="preserve"> 
C09085</t>
  </si>
  <si>
    <t>PMDB00181</t>
  </si>
  <si>
    <t>C40 H56 O5</t>
  </si>
  <si>
    <t>Secondary  Metabolites_Terpenoids_Phytosterols_PMDB00739_Sitosterol</t>
  </si>
  <si>
    <t>Sitosterol</t>
  </si>
  <si>
    <t xml:space="preserve"> 
C01753</t>
  </si>
  <si>
    <t>PMDB00739</t>
  </si>
  <si>
    <t>C17 H34 N8 O4</t>
  </si>
  <si>
    <t>Secondary  Metabolites_Others_Others_PMDB00006_Galacturonic acid</t>
  </si>
  <si>
    <t>Galacturonic acid</t>
  </si>
  <si>
    <t xml:space="preserve"> 
C00333</t>
  </si>
  <si>
    <t>PMDB00006</t>
  </si>
  <si>
    <t>C6 H19 N4 O P</t>
  </si>
  <si>
    <t>Secondary  Metabolites_Alkaloids_Diterpenoid Alkaloids
_PMDB00115_Garryine</t>
  </si>
  <si>
    <t>Garryine</t>
  </si>
  <si>
    <t xml:space="preserve"> 
C08685</t>
  </si>
  <si>
    <t>PMDB00115</t>
  </si>
  <si>
    <t>C10 H29 N7 O6</t>
  </si>
  <si>
    <t>Secondary  Metabolites_Terpenoids_Steroid Saponins_PMDB00702_ 
Diosgenin</t>
  </si>
  <si>
    <t xml:space="preserve"> 
Diosgenin</t>
  </si>
  <si>
    <t xml:space="preserve"> 
C08898</t>
  </si>
  <si>
    <t>PMDB00702</t>
  </si>
  <si>
    <t>C14 H34 N6 O8</t>
  </si>
  <si>
    <t>Secondary  Metabolites_Alkaloids_Indole Alkaloids_PMDB00221
_Harmaline</t>
  </si>
  <si>
    <t>Harmaline</t>
  </si>
  <si>
    <t xml:space="preserve"> 
C06536</t>
  </si>
  <si>
    <t xml:space="preserve">PMDB00221
</t>
  </si>
  <si>
    <t>C5 H11 O5 P S</t>
  </si>
  <si>
    <t>Secondary  Metabolites_Terpenoids_Diterpenoids_PMDB00618_Alectrol</t>
  </si>
  <si>
    <t>Alectrol</t>
  </si>
  <si>
    <t xml:space="preserve"> 
C09059</t>
  </si>
  <si>
    <t>PMDB00618</t>
  </si>
  <si>
    <t>C13 H27 N6 O3 P</t>
  </si>
  <si>
    <t>Secondary  Metabolites_Alkaloids_Other Alkaloids_PMDB00479_Alamarine</t>
  </si>
  <si>
    <t>Alamarine</t>
  </si>
  <si>
    <t>C09326</t>
  </si>
  <si>
    <t>PMDB00479</t>
  </si>
  <si>
    <t>Secondary  Metabolites_Alkaloids_Peptide Alkaloids_PMDB00332_Amphibine A</t>
  </si>
  <si>
    <t>Amphibine A</t>
  </si>
  <si>
    <t>C09997</t>
  </si>
  <si>
    <t>PMDB00332</t>
  </si>
  <si>
    <t>C23 H57 N7 O5 P2</t>
  </si>
  <si>
    <t>Secondary  Metabolites_Alkaloids_Betalain Alkaloids_PMDB00055_Amaranthin</t>
  </si>
  <si>
    <t>Amaranthin</t>
  </si>
  <si>
    <t xml:space="preserve"> 
C08537   </t>
  </si>
  <si>
    <t>PMDB00055</t>
  </si>
  <si>
    <t>C39 H67 O10 P</t>
  </si>
  <si>
    <t>Secondary  Metabolites_Others_Others_PMDB00049_Lycoricidine</t>
  </si>
  <si>
    <t>Lycoricidine</t>
  </si>
  <si>
    <t>C08531</t>
  </si>
  <si>
    <t>PMDB00049</t>
  </si>
  <si>
    <t>C7 H13 N7 O6</t>
  </si>
  <si>
    <t>Secondary  Metabolites_Phenolics
_Quinones
_PMDB00834_ 
Lawsone</t>
  </si>
  <si>
    <t xml:space="preserve"> 
Lawsone</t>
  </si>
  <si>
    <t xml:space="preserve"> 
C10368</t>
  </si>
  <si>
    <t>PMDB00834</t>
  </si>
  <si>
    <t>Secondary  Metabolites_Alkaloids_Other Alkaloids_PMDB00487_ 
Amurine</t>
  </si>
  <si>
    <t xml:space="preserve"> 
Amurine</t>
  </si>
  <si>
    <t xml:space="preserve"> 
C09334</t>
  </si>
  <si>
    <t>PMDB00487</t>
  </si>
  <si>
    <t>Secondary  Metabolites_Terpenoids_Steroid Saponins_PMDB00704_ 
Gitonin</t>
  </si>
  <si>
    <t xml:space="preserve"> 
Gitonin</t>
  </si>
  <si>
    <t xml:space="preserve"> 
C08900</t>
  </si>
  <si>
    <t>PMDB00704</t>
  </si>
  <si>
    <t>[M+2H]+2</t>
  </si>
  <si>
    <t>C47 H99 N5 O16 P2</t>
  </si>
  <si>
    <t>Secondary  Metabolites_Alkaloids_Quinazoline Alkaloids_PMDB00357_ 
Febrifugine</t>
  </si>
  <si>
    <t xml:space="preserve"> 
Febrifugine</t>
  </si>
  <si>
    <t xml:space="preserve"> 
C10677</t>
  </si>
  <si>
    <t>PMDB00357</t>
  </si>
  <si>
    <t>C14 H35 N7</t>
  </si>
  <si>
    <t>Secondary  Metabolites_Terpenoids_Triterpenoid Saponins_PMDB00684_Pfaffic acid</t>
  </si>
  <si>
    <t>Pfaffic acid</t>
  </si>
  <si>
    <t xml:space="preserve"> 
C08965</t>
  </si>
  <si>
    <t>PMDB00684</t>
  </si>
  <si>
    <t>C21 H40 N6 O4</t>
  </si>
  <si>
    <t xml:space="preserve">Secondary  Metabolites_Alkaloids_Other Alkaloids_PMDB00437_Verticine
</t>
  </si>
  <si>
    <t xml:space="preserve">Verticine
</t>
  </si>
  <si>
    <t xml:space="preserve"> 
C10830</t>
  </si>
  <si>
    <t>PMDB00437</t>
  </si>
  <si>
    <t>C16 H26 N5 O5 P S</t>
  </si>
  <si>
    <t>Hormones_Brassinosteroids_Brassinosteroids_PMDB00946_6alpha-Hydroxycampestanol</t>
  </si>
  <si>
    <t>6alpha-Hydroxycampestanol</t>
  </si>
  <si>
    <t xml:space="preserve"> 
C15788</t>
  </si>
  <si>
    <t>PMDB00946</t>
  </si>
  <si>
    <t>C24 H38 N2 O2 S</t>
  </si>
  <si>
    <t>Secondary  Metabolites_Alkaloids_Other Alkaloids_PMDB00456_Convolvine</t>
  </si>
  <si>
    <t>Convolvine</t>
  </si>
  <si>
    <t xml:space="preserve"> 
C10856</t>
  </si>
  <si>
    <t>PMDB00456</t>
  </si>
  <si>
    <t>Secondary  Metabolites_Alkaloids_Betalain Alkaloids_ 
PMDB00071_ 
Miraxanthin-III</t>
  </si>
  <si>
    <t xml:space="preserve"> 
Miraxanthin-III</t>
  </si>
  <si>
    <t>C08556</t>
  </si>
  <si>
    <t xml:space="preserve"> 
PMDB00071</t>
  </si>
  <si>
    <t>C14 H30 N6 O3</t>
  </si>
  <si>
    <t>Secondary  Metabolites_Phenolics
_Isoflavonoids
_PMDB00920_Wighteone</t>
  </si>
  <si>
    <t>Wighteone</t>
  </si>
  <si>
    <t xml:space="preserve"> 
C10542</t>
  </si>
  <si>
    <t>PMDB00920</t>
  </si>
  <si>
    <t>C12 H14 N6 O6</t>
  </si>
  <si>
    <t>Secondary  Metabolites_Phenolics
_Isoflavonoids
_PMDB00890_Ononin</t>
  </si>
  <si>
    <t>Ononin</t>
  </si>
  <si>
    <t xml:space="preserve"> 
C10509</t>
  </si>
  <si>
    <t>PMDB00890</t>
  </si>
  <si>
    <t>C21 H34 N8 S</t>
  </si>
  <si>
    <t>Secondary  Metabolites_Alkaloids_Other Alkaloids_PMDB00477_Adlumine</t>
  </si>
  <si>
    <t xml:space="preserve"> 
C09324</t>
  </si>
  <si>
    <t>PMDB00477</t>
  </si>
  <si>
    <t>C5 H9 N</t>
  </si>
  <si>
    <t>Secondary  Metabolites_Alkaloids_Other Alkaloids_ 
PMDB00292_ 
Lycoflexine</t>
  </si>
  <si>
    <t xml:space="preserve"> 
Lycoflexine</t>
  </si>
  <si>
    <t xml:space="preserve"> 
C09879</t>
  </si>
  <si>
    <t xml:space="preserve"> 
PMDB00292</t>
  </si>
  <si>
    <t>C8 H17 N7 O4</t>
  </si>
  <si>
    <t>Secondary  Metabolites_Phenolics
_Quinones
_PMDB00818_Dunnione</t>
  </si>
  <si>
    <t>Dunnione</t>
  </si>
  <si>
    <t>C10337</t>
  </si>
  <si>
    <t>PMDB00818</t>
  </si>
  <si>
    <t>[M+H+MeOH]+1</t>
  </si>
  <si>
    <t>C11 H23 N4 P</t>
  </si>
  <si>
    <t>Secondary  Metabolites_Phenolics
_Minor Flavonoids_PMDB00590_Phloretin</t>
  </si>
  <si>
    <t>Phloretin</t>
  </si>
  <si>
    <t xml:space="preserve"> 
C00774</t>
  </si>
  <si>
    <t>PMDB00590</t>
  </si>
  <si>
    <t>C14 H22 N6</t>
  </si>
  <si>
    <t>Secondary  Metabolites_Alkaloids_Other Alkaloids_PMDB00405
_ 
Tinctorine</t>
  </si>
  <si>
    <t xml:space="preserve"> 
Tinctorine</t>
  </si>
  <si>
    <t xml:space="preserve"> 
C10790</t>
  </si>
  <si>
    <t xml:space="preserve">PMDB00405
</t>
  </si>
  <si>
    <t>Secondary  Metabolites_Terpenoids_Diterpenoids_PMDB00620_Aphidicolin</t>
  </si>
  <si>
    <t>Aphidicolin</t>
  </si>
  <si>
    <t xml:space="preserve"> 
C06088</t>
  </si>
  <si>
    <t>PMDB00620</t>
  </si>
  <si>
    <t>C18 H35 N4 P</t>
  </si>
  <si>
    <t>Secondary  Metabolites_Terpenoids_Triterpenoid Saponins_PMDB00686_Quillaic acid</t>
  </si>
  <si>
    <t>Quillaic acid</t>
  </si>
  <si>
    <t xml:space="preserve"> 
C08972</t>
  </si>
  <si>
    <t>PMDB00686</t>
  </si>
  <si>
    <t>C17 H29 Cl N2 O8 P2</t>
  </si>
  <si>
    <t>Secondary  Metabolites_Alkaloids_Quinazoline Alkaloids_ 
PMDB00360_Isofebrifugine</t>
  </si>
  <si>
    <t>Isofebrifugine</t>
  </si>
  <si>
    <t xml:space="preserve"> 
C10698</t>
  </si>
  <si>
    <t xml:space="preserve"> 
PMDB00360</t>
  </si>
  <si>
    <t>Secondary  Metabolites_Phenolics
_Quinones
_PMDB00820_Eleutherin</t>
  </si>
  <si>
    <t>Eleutherin</t>
  </si>
  <si>
    <t xml:space="preserve"> 
C10340</t>
  </si>
  <si>
    <t>PMDB00820</t>
  </si>
  <si>
    <t>C11 H18 N2 O2 P2</t>
  </si>
  <si>
    <t xml:space="preserve">Secondary  Metabolites_Alkaloids_Acridone Alkaloids_ 
PMDB00372_Furofoline I
</t>
  </si>
  <si>
    <t xml:space="preserve">Furofoline I
</t>
  </si>
  <si>
    <t xml:space="preserve"> 
C10681</t>
  </si>
  <si>
    <t xml:space="preserve"> 
PMDB00372</t>
  </si>
  <si>
    <t>C15 H23 N O S</t>
  </si>
  <si>
    <t>Secondary  Metabolites_Alkaloids_Indole Alkaloids_PMDB00271_Voacamine</t>
  </si>
  <si>
    <t>Voacamine</t>
  </si>
  <si>
    <t xml:space="preserve"> 
C09252</t>
  </si>
  <si>
    <t>PMDB00271</t>
  </si>
  <si>
    <t>C37 H69 O10 P</t>
  </si>
  <si>
    <t>Secondary  Metabolites_Others_Others_PMDB00010_ 
ALPHA-PINENE</t>
  </si>
  <si>
    <t xml:space="preserve"> 
ALPHA-PINENE</t>
  </si>
  <si>
    <t xml:space="preserve"> 
C09880</t>
  </si>
  <si>
    <t>PMDB00010</t>
  </si>
  <si>
    <t>C9 H12 O</t>
  </si>
  <si>
    <t>Secondary  Metabolites_Alkaloids_Betalain Alkaloids_ 
PMDB00067_ 
Isobetanin</t>
  </si>
  <si>
    <t xml:space="preserve"> 
Isobetanin</t>
  </si>
  <si>
    <t xml:space="preserve"> 
C08551</t>
  </si>
  <si>
    <t xml:space="preserve"> 
PMDB00067</t>
  </si>
  <si>
    <t>C28 H55 O6 P S</t>
  </si>
  <si>
    <t>Secondary  Metabolites_Phenolics
_Tannins
_PMDB00941_Terminalin</t>
  </si>
  <si>
    <t>Terminalin</t>
  </si>
  <si>
    <t xml:space="preserve"> 
C10242</t>
  </si>
  <si>
    <t>PMDB00941</t>
  </si>
  <si>
    <t>[M+NH4]+1</t>
  </si>
  <si>
    <t>C28 H54 N6 O8</t>
  </si>
  <si>
    <t>Secondary  Metabolites_Alkaloids_Diterpenoid Alkaloids
_PMDB00095_Browniine</t>
  </si>
  <si>
    <t>Browniine</t>
  </si>
  <si>
    <t xml:space="preserve"> 
C08665</t>
  </si>
  <si>
    <t>PMDB00095</t>
  </si>
  <si>
    <t>C14 H21 Cl N6 O10</t>
  </si>
  <si>
    <t>Secondary  Metabolites_Terpenoids_Carotenoids_PMDB00752_beta-Carotene</t>
  </si>
  <si>
    <t>beta-Carotene</t>
  </si>
  <si>
    <t xml:space="preserve"> 
C02094</t>
  </si>
  <si>
    <t>PMDB00752</t>
  </si>
  <si>
    <t>C21 H44 N8 O8</t>
  </si>
  <si>
    <t>Hormones_Brassinosteroids_Brassinosteroids_PMDB00963_ 
Typhasterol</t>
  </si>
  <si>
    <t xml:space="preserve"> 
Typhasterol</t>
  </si>
  <si>
    <t xml:space="preserve"> 
C15793</t>
  </si>
  <si>
    <t>PMDB00963</t>
  </si>
  <si>
    <t>C21 H40 N2 O8</t>
  </si>
  <si>
    <t>Secondary  Metabolites_Terpenoids_Triterpenoid Saponins_PMDB00680_Ilexolide A</t>
  </si>
  <si>
    <t>Ilexolide A</t>
  </si>
  <si>
    <t>C08957</t>
  </si>
  <si>
    <t>PMDB00680</t>
  </si>
  <si>
    <t>C32 H54 N6 O2 S</t>
  </si>
  <si>
    <t>Secondary  Metabolites_Alkaloids_Other Alkaloids_PMDB00276_Acrifoline</t>
  </si>
  <si>
    <t>Acrifoline</t>
  </si>
  <si>
    <t xml:space="preserve"> 
C09850</t>
  </si>
  <si>
    <t>PMDB00276</t>
  </si>
  <si>
    <t>Secondary  Metabolites_Alkaloids_Other Alkaloids_ 
PMDB00278_Annotine</t>
  </si>
  <si>
    <t>Annotine</t>
  </si>
  <si>
    <t xml:space="preserve"> 
C09852</t>
  </si>
  <si>
    <t xml:space="preserve"> 
PMDB00278</t>
  </si>
  <si>
    <t>Secondary  Metabolites_Alkaloids_Diterpenoid Alkaloids
_PMDB00129_ 
Methyllycaconitine</t>
  </si>
  <si>
    <t xml:space="preserve"> 
Methyllycaconitine</t>
  </si>
  <si>
    <t xml:space="preserve"> 
C08699</t>
  </si>
  <si>
    <t>PMDB00129</t>
  </si>
  <si>
    <t>C34 H55 N10 O3 P</t>
  </si>
  <si>
    <t>Secondary  Metabolites_Alkaloids_Other Alkaloids_ 
PMDB00286_Inundatine</t>
  </si>
  <si>
    <t>Inundatine</t>
  </si>
  <si>
    <t xml:space="preserve"> 
C09867</t>
  </si>
  <si>
    <t xml:space="preserve"> 
PMDB00286</t>
  </si>
  <si>
    <t>Secondary  Metabolites_Others_Others_PMDB00023_rhamnose</t>
  </si>
  <si>
    <t>rhamnose</t>
  </si>
  <si>
    <t xml:space="preserve"> 
C00507</t>
  </si>
  <si>
    <t>PMDB00023</t>
  </si>
  <si>
    <t>C4 H13 N4 O P</t>
  </si>
  <si>
    <t>Secondary  Metabolites_Alkaloids_Other Alkaloids_PMDB00382_ 
Angustifoline</t>
  </si>
  <si>
    <t xml:space="preserve"> 
Angustifoline</t>
  </si>
  <si>
    <t xml:space="preserve"> 
C10751</t>
  </si>
  <si>
    <t>PMDB00382</t>
  </si>
  <si>
    <t>C9 H23 N4 O P</t>
  </si>
  <si>
    <t>Secondary  Metabolites_Phenolics
_Isoflavonoids
_PMDB00917_Trifolirhizin</t>
  </si>
  <si>
    <t>Trifolirhizin</t>
  </si>
  <si>
    <t xml:space="preserve"> 
C10538</t>
  </si>
  <si>
    <t>PMDB00917</t>
  </si>
  <si>
    <t>C19 H41 N6 P3</t>
  </si>
  <si>
    <t>Secondary  Metabolites_Terpenoids_Monoterpenoids_PMDB00646_Chrysanthemic acid</t>
  </si>
  <si>
    <t>Chrysanthemic acid</t>
  </si>
  <si>
    <t xml:space="preserve"> 
C09842</t>
  </si>
  <si>
    <t>PMDB00646</t>
  </si>
  <si>
    <t>[2M+Na]+1</t>
  </si>
  <si>
    <t>Secondary  Metabolites_Alkaloids_Diterpenoid Alkaloids
_PMDB00102_Cuauchichicine</t>
  </si>
  <si>
    <t>Cuauchichicine</t>
  </si>
  <si>
    <t xml:space="preserve"> 
C08672</t>
  </si>
  <si>
    <t>PMDB00102</t>
  </si>
  <si>
    <t>C13 H32 N O3 P3</t>
  </si>
  <si>
    <t>Secondary  Metabolites_Phenolics
_Quinones
_PMDB00804_Cercosporin</t>
  </si>
  <si>
    <t>Cercosporin</t>
  </si>
  <si>
    <t xml:space="preserve"> 
C10309</t>
  </si>
  <si>
    <t>PMDB00804</t>
  </si>
  <si>
    <t>C29 H42 O9</t>
  </si>
  <si>
    <t>Secondary  Metabolites_Alkaloids_Indole Alkaloids_PMDB00230_Leurosidine</t>
  </si>
  <si>
    <t>Leurosidine</t>
  </si>
  <si>
    <t>C09218</t>
  </si>
  <si>
    <t>PMDB00230</t>
  </si>
  <si>
    <t>C30 H73 N10 O9 P3</t>
  </si>
  <si>
    <t>Secondary  Metabolites_Alkaloids_Other Alkaloids_PMDB00467_Pseudopelletierine</t>
  </si>
  <si>
    <t>Pseudopelletierine</t>
  </si>
  <si>
    <t xml:space="preserve"> 
C10865</t>
  </si>
  <si>
    <t>PMDB00467</t>
  </si>
  <si>
    <t>C2 H7 N3 O5</t>
  </si>
  <si>
    <t>Secondary  Metabolites_Alkaloids_Quinazoline Alkaloids_ 
PMDB00354_Arborine</t>
  </si>
  <si>
    <t>Arborine</t>
  </si>
  <si>
    <t xml:space="preserve"> 
C10642</t>
  </si>
  <si>
    <t xml:space="preserve"> 
PMDB00354</t>
  </si>
  <si>
    <t>C7 H18 N6 O4</t>
  </si>
  <si>
    <t>Secondary  Metabolites_Alkaloids_Indole Alkaloids_PMDB00239_Murrayanine</t>
  </si>
  <si>
    <t>Murrayanine</t>
  </si>
  <si>
    <t xml:space="preserve"> 
C09228</t>
  </si>
  <si>
    <t>PMDB00239</t>
  </si>
  <si>
    <t>Secondary  Metabolites_Terpenoids_Diterpenoids_PMDB00622_Cafestol</t>
  </si>
  <si>
    <t>Cafestol</t>
  </si>
  <si>
    <t>C09066</t>
  </si>
  <si>
    <t>PMDB00622</t>
  </si>
  <si>
    <t>C17 H28 N6</t>
  </si>
  <si>
    <t>Secondary  Metabolites_Phenolics
_Minor Flavonoids_PMDB00583_Naringin</t>
  </si>
  <si>
    <t>Naringin</t>
  </si>
  <si>
    <t xml:space="preserve"> 
C09789</t>
  </si>
  <si>
    <t>PMDB00583</t>
  </si>
  <si>
    <t>C33 H49 N4 O3 P</t>
  </si>
  <si>
    <t>Secondary  Metabolites_Phenolics
_Anthocyanins
_PMDB00521_Malonylawobanin</t>
  </si>
  <si>
    <t>Malonylawobanin</t>
  </si>
  <si>
    <t xml:space="preserve"> 
C08653</t>
  </si>
  <si>
    <t>PMDB00521</t>
  </si>
  <si>
    <t>Secondary  Metabolites_Others_Others_PMDB00030_ 
nicotine</t>
  </si>
  <si>
    <t xml:space="preserve"> 
nicotine</t>
  </si>
  <si>
    <t>C00745</t>
  </si>
  <si>
    <t>PMDB00030</t>
  </si>
  <si>
    <t xml:space="preserve">Secondary  Metabolites_Terpenoids_Triterpenoid Saponins_PMDB00690_Ziziphin
</t>
  </si>
  <si>
    <t xml:space="preserve">Ziziphin
</t>
  </si>
  <si>
    <t xml:space="preserve"> 
C08991</t>
  </si>
  <si>
    <t>PMDB00690</t>
  </si>
  <si>
    <t>C51 H81 N7 O8 P2</t>
  </si>
  <si>
    <t>Secondary  Metabolites_Alkaloids_Peptide Alkaloids_PMDB00338_Frangulanine</t>
  </si>
  <si>
    <t>Frangulanine</t>
  </si>
  <si>
    <t xml:space="preserve"> 
C10003</t>
  </si>
  <si>
    <t>PMDB00338</t>
  </si>
  <si>
    <t>C18 H44 N8 O6 S</t>
  </si>
  <si>
    <t>Secondary  Metabolites_Alkaloids_Betalain Alkaloids_PMDB00064_Humilixanthin</t>
  </si>
  <si>
    <t>Humilixanthin</t>
  </si>
  <si>
    <t xml:space="preserve"> 
C08548</t>
  </si>
  <si>
    <t>PMDB00064</t>
  </si>
  <si>
    <t>Secondary  Metabolites_Phenolics
_Isoflavonoids
_PMDB00856_ 
Bowdichione</t>
  </si>
  <si>
    <t xml:space="preserve"> 
Bowdichione</t>
  </si>
  <si>
    <t>C10202</t>
  </si>
  <si>
    <t>PMDB00856</t>
  </si>
  <si>
    <t>C15 H18 N6 O</t>
  </si>
  <si>
    <t>Secondary  Metabolites_Terpenoids_Phytosterols_PMDB00743_Withanolide D</t>
  </si>
  <si>
    <t>Withanolide D</t>
  </si>
  <si>
    <t xml:space="preserve"> 
C08842</t>
  </si>
  <si>
    <t>PMDB00743</t>
  </si>
  <si>
    <t>C25 H48 N2 O2 P2</t>
  </si>
  <si>
    <t>Secondary  Metabolites_Terpenoids_Triterpenoid Saponins_PMDB00683_Olaxoside</t>
  </si>
  <si>
    <t>Olaxoside</t>
  </si>
  <si>
    <t>C08962</t>
  </si>
  <si>
    <t>PMDB00683</t>
  </si>
  <si>
    <t>C61 H80 N7 P</t>
  </si>
  <si>
    <t>Secondary  Metabolites_Alkaloids_Diterpenoid Alkaloids
_PMDB00098_Cashmiradelphine</t>
  </si>
  <si>
    <t>Cashmiradelphine</t>
  </si>
  <si>
    <t>C08668</t>
  </si>
  <si>
    <t>PMDB00098</t>
  </si>
  <si>
    <t>C34 H53 N8 O6 P</t>
  </si>
  <si>
    <t>Secondary  Metabolites_Terpenoids_Phytosterols_PMDB00731_Miroestrol</t>
  </si>
  <si>
    <t>Miroestrol</t>
  </si>
  <si>
    <t xml:space="preserve"> 
C08831</t>
  </si>
  <si>
    <t>PMDB00731</t>
  </si>
  <si>
    <t>C18 H38 N4 O S</t>
  </si>
  <si>
    <t>Secondary  Metabolites_Alkaloids_Betalain Alkaloids_PMDB00072_ 
Miraxanthin-V</t>
  </si>
  <si>
    <t xml:space="preserve"> 
Miraxanthin-V</t>
  </si>
  <si>
    <t xml:space="preserve"> 
C08557</t>
  </si>
  <si>
    <t>PMDB00072</t>
  </si>
  <si>
    <t>C19 H26 N2 O4</t>
  </si>
  <si>
    <t>Secondary  Metabolites_Alkaloids_Betalain Alkaloids_PMDB00061_Dopaxanthin</t>
  </si>
  <si>
    <t>Dopaxanthin</t>
  </si>
  <si>
    <t xml:space="preserve"> 
C08543</t>
  </si>
  <si>
    <t>PMDB00061</t>
  </si>
  <si>
    <t>C20 H34 N6 O2</t>
  </si>
  <si>
    <t>Secondary  Metabolites_Others_Others_PMDB00017_taraxerol</t>
  </si>
  <si>
    <t>taraxerol</t>
  </si>
  <si>
    <t>C08637</t>
  </si>
  <si>
    <t>PMDB00017</t>
  </si>
  <si>
    <t>C23 H34 N6 O2</t>
  </si>
  <si>
    <t>Secondary  Metabolites_Phenolics
_Minor Flavonoids_ 
PMDB00572_Garbanzol</t>
  </si>
  <si>
    <t>Garbanzol</t>
  </si>
  <si>
    <t xml:space="preserve"> 
C09751</t>
  </si>
  <si>
    <t xml:space="preserve"> 
PMDB00572</t>
  </si>
  <si>
    <t>C8 H20 N2 O8</t>
  </si>
  <si>
    <t>Secondary  Metabolites_Phenolics
_Isoflavonoids
_PMDB00876_Iridin</t>
  </si>
  <si>
    <t>Iridin</t>
  </si>
  <si>
    <t xml:space="preserve"> 
C10465</t>
  </si>
  <si>
    <t>PMDB00876</t>
  </si>
  <si>
    <t>C14 H27 Cl N6 O13</t>
  </si>
  <si>
    <t>Secondary  Metabolites_Phenolics
_Quinones
_PMDB00802_Bikaverin</t>
  </si>
  <si>
    <t>Bikaverin</t>
  </si>
  <si>
    <t xml:space="preserve"> 
C10306</t>
  </si>
  <si>
    <t>PMDB00802</t>
  </si>
  <si>
    <t>C17 H19 O6 P S</t>
  </si>
  <si>
    <t>Hormones_Jasmonates_Jasmonates_PMDB01006_7-isojasmonate</t>
  </si>
  <si>
    <t>7-isojasmonate</t>
  </si>
  <si>
    <t>PMDB01006</t>
  </si>
  <si>
    <t>Secondary  Metabolites_Terpenoids_Diterpenoids_ 
PMDB00625_Casbene</t>
  </si>
  <si>
    <t>Casbene</t>
  </si>
  <si>
    <t>C01414</t>
  </si>
  <si>
    <t xml:space="preserve"> 
PMDB00625</t>
  </si>
  <si>
    <t>C7 H16 N2 O9</t>
  </si>
  <si>
    <t>Secondary  Metabolites_Terpenoids_Carotenoids_PMDB00755_Echinenone</t>
  </si>
  <si>
    <t>Echinenone</t>
  </si>
  <si>
    <t xml:space="preserve"> 
C08592</t>
  </si>
  <si>
    <t>PMDB00755</t>
  </si>
  <si>
    <t>C27 H46 N6 O6</t>
  </si>
  <si>
    <t>Secondary  Metabolites_Alkaloids_Indole Alkaloids_ 
PMDB00156_ 
Akuammine</t>
  </si>
  <si>
    <t xml:space="preserve"> 
Akuammine</t>
  </si>
  <si>
    <t xml:space="preserve"> 
C09027</t>
  </si>
  <si>
    <t xml:space="preserve"> 
PMDB00156</t>
  </si>
  <si>
    <t>C18 H34 N6 O3</t>
  </si>
  <si>
    <t>Secondary  Metabolites_Others_Others_PMDB00044_ 
Galanthamine</t>
  </si>
  <si>
    <t xml:space="preserve"> 
Galanthamine</t>
  </si>
  <si>
    <t>C08526</t>
  </si>
  <si>
    <t>PMDB00044</t>
  </si>
  <si>
    <t>C12 H25 N5 O3</t>
  </si>
  <si>
    <t>Secondary  Metabolites_Phenolics
_Benzofurans
_PMDB00532_ 
Albafuran A</t>
  </si>
  <si>
    <t xml:space="preserve"> 
Albafuran A</t>
  </si>
  <si>
    <t xml:space="preserve"> 
C08732</t>
  </si>
  <si>
    <t>PMDB00532</t>
  </si>
  <si>
    <t>C15 H10 N10 O3</t>
  </si>
  <si>
    <t>Hormones_Abscisic acid
_Abscisic acid
_PMDB01009_ 
abscisic acid glucose ester</t>
  </si>
  <si>
    <t xml:space="preserve"> 
abscisic acid glucose ester</t>
  </si>
  <si>
    <t>PMDB01009</t>
  </si>
  <si>
    <t>C20 H38 N6 O4</t>
  </si>
  <si>
    <t>Secondary  Metabolites_Alkaloids_Indole Alkaloids_PMDB00222_Harman</t>
  </si>
  <si>
    <t>Harman</t>
  </si>
  <si>
    <t>C09209</t>
  </si>
  <si>
    <t>PMDB00222</t>
  </si>
  <si>
    <t>Secondary  Metabolites_Alkaloids_Other Alkaloids_PMDB00461_Knightinol</t>
  </si>
  <si>
    <t>Knightinol</t>
  </si>
  <si>
    <t>C10859</t>
  </si>
  <si>
    <t>PMDB00461</t>
  </si>
  <si>
    <t>C11 H21 N3 O2 P2</t>
  </si>
  <si>
    <t>Secondary  Metabolites_Phenolics
_Quinones
_PMDB00844_Primin</t>
  </si>
  <si>
    <t>Primin</t>
  </si>
  <si>
    <t xml:space="preserve"> 
C10390</t>
  </si>
  <si>
    <t>PMDB00844</t>
  </si>
  <si>
    <t>C7 H21 N4 O P</t>
  </si>
  <si>
    <t>Secondary  Metabolites_Phenolics
_Tannins
_PMDB00932_Fucofuroeckol B</t>
  </si>
  <si>
    <t>Fucofuroeckol B</t>
  </si>
  <si>
    <t>C10226</t>
  </si>
  <si>
    <t>PMDB00932</t>
  </si>
  <si>
    <t>C11 H23 N6 O13 P</t>
  </si>
  <si>
    <t>Secondary  Metabolites_Terpenoids_Diterpenoids_PMDB00637_ 
Lathyrol</t>
  </si>
  <si>
    <t xml:space="preserve"> 
Lathyrol</t>
  </si>
  <si>
    <t xml:space="preserve"> 
C09125</t>
  </si>
  <si>
    <t>PMDB00637</t>
  </si>
  <si>
    <t>C16 H34 N2 O5</t>
  </si>
  <si>
    <t>Secondary  Metabolites_Alkaloids_Indole Alkaloids_PMDB00255_Serpentine</t>
  </si>
  <si>
    <t>Serpentine</t>
  </si>
  <si>
    <t>C09241</t>
  </si>
  <si>
    <t>PMDB00255</t>
  </si>
  <si>
    <t>Secondary  Metabolites_Alkaloids_Acridone Alkaloids_PMDB00373
_Glycobismine A</t>
  </si>
  <si>
    <t>Glycobismine A</t>
  </si>
  <si>
    <t xml:space="preserve"> 
C10685</t>
  </si>
  <si>
    <t xml:space="preserve">PMDB00373
</t>
  </si>
  <si>
    <t>C39 H54 O5</t>
  </si>
  <si>
    <t>Secondary  Metabolites_Alkaloids_Indole Alkaloids_ 
PMDB00152_Ajmalicine</t>
  </si>
  <si>
    <t>Ajmalicine</t>
  </si>
  <si>
    <t xml:space="preserve"> 
C09024</t>
  </si>
  <si>
    <t xml:space="preserve"> 
PMDB00152</t>
  </si>
  <si>
    <t>C19 H34 N2 P2</t>
  </si>
  <si>
    <t>Secondary  Metabolites_Alkaloids_Acridone Alkaloids_PMDB00365_Acronycine</t>
  </si>
  <si>
    <t>Acronycine</t>
  </si>
  <si>
    <t xml:space="preserve"> 
C10632</t>
  </si>
  <si>
    <t>PMDB00365</t>
  </si>
  <si>
    <t>C17 H31 N5 O</t>
  </si>
  <si>
    <t>Secondary  Metabolites_Phenolics
_Isoflavonoids
_PMDB00875_12a-Hydroxyrotenone</t>
  </si>
  <si>
    <t>12a-Hydroxyrotenone</t>
  </si>
  <si>
    <t>C10464</t>
  </si>
  <si>
    <t>PMDB00875</t>
  </si>
  <si>
    <t>C20 H38 N6 O3</t>
  </si>
  <si>
    <t>Secondary  Metabolites_Phenolics
_Benzofurans
_PMDB00544_psi-Rhodomyrtoxin</t>
  </si>
  <si>
    <t>psi-Rhodomyrtoxin</t>
  </si>
  <si>
    <t xml:space="preserve"> 
C08951</t>
  </si>
  <si>
    <t>PMDB00544</t>
  </si>
  <si>
    <t>C20 H37 Cl N6 O2</t>
  </si>
  <si>
    <t>Secondary  Metabolites_Alkaloids_Peptide Alkaloids_PMDB00339_ 
Hymenocardine</t>
  </si>
  <si>
    <t xml:space="preserve"> 
Hymenocardine</t>
  </si>
  <si>
    <t xml:space="preserve"> 
C10004</t>
  </si>
  <si>
    <t>PMDB00339</t>
  </si>
  <si>
    <t>C37 H63 N4 O5 P</t>
  </si>
  <si>
    <t>Secondary  Metabolites_Alkaloids_Quinazoline Alkaloids_ 
PMDB00356_Deoxyvasicinone</t>
  </si>
  <si>
    <t>Deoxyvasicinone</t>
  </si>
  <si>
    <t xml:space="preserve"> 
C10659</t>
  </si>
  <si>
    <t xml:space="preserve"> 
PMDB00356</t>
  </si>
  <si>
    <t>Secondary  Metabolites_Alkaloids_Indole Alkaloids_PMDB00203_Ergine</t>
  </si>
  <si>
    <t>Ergine</t>
  </si>
  <si>
    <t>C09160</t>
  </si>
  <si>
    <t>PMDB00203</t>
  </si>
  <si>
    <t>Secondary  Metabolites_Alkaloids_Other Alkaloids_ 
PMDB00303_ 
Acanthicifoline</t>
  </si>
  <si>
    <t xml:space="preserve"> 
Acanthicifoline</t>
  </si>
  <si>
    <t xml:space="preserve"> 
C09907</t>
  </si>
  <si>
    <t xml:space="preserve"> 
PMDB00303</t>
  </si>
  <si>
    <t>C7 H21 N4 P</t>
  </si>
  <si>
    <t>Secondary  Metabolites_Alkaloids_Acridone Alkaloids_ 
PMDB00371_Evoxanthidine</t>
  </si>
  <si>
    <t>Evoxanthidine</t>
  </si>
  <si>
    <t xml:space="preserve"> 
C10668</t>
  </si>
  <si>
    <t xml:space="preserve"> 
PMDB00371</t>
  </si>
  <si>
    <t>C8 H23 N5 O3 S</t>
  </si>
  <si>
    <t>Secondary  Metabolites_Phenolics
_Quinones
_PMDB00806_Chrysazin</t>
  </si>
  <si>
    <t>Chrysazin</t>
  </si>
  <si>
    <t xml:space="preserve"> 
C10312</t>
  </si>
  <si>
    <t>PMDB00806</t>
  </si>
  <si>
    <t>C8 H16 N8 O</t>
  </si>
  <si>
    <t>Secondary  Metabolites_Alkaloids_Quinazoline Alkaloids_PMDB00358
_ 
Glycophymoline</t>
  </si>
  <si>
    <t xml:space="preserve"> 
Glycophymoline</t>
  </si>
  <si>
    <t>C10687</t>
  </si>
  <si>
    <t xml:space="preserve">PMDB00358
</t>
  </si>
  <si>
    <t>C9 H14 N8 O</t>
  </si>
  <si>
    <t>Secondary  Metabolites_Alkaloids_Betalain Alkaloids_PMDB00060_Celosianin II</t>
  </si>
  <si>
    <t>Celosianin II</t>
  </si>
  <si>
    <t xml:space="preserve"> 
C08542</t>
  </si>
  <si>
    <t>PMDB00060</t>
  </si>
  <si>
    <t>C42 H78 N8 O11 S</t>
  </si>
  <si>
    <t>Secondary  Metabolites_Phenolics
_Isoflavonoids
_PMDB00865_Dalbergioidin</t>
  </si>
  <si>
    <t>Dalbergioidin</t>
  </si>
  <si>
    <t xml:space="preserve"> 
C10415</t>
  </si>
  <si>
    <t>PMDB00865</t>
  </si>
  <si>
    <t>C15 H24 N6</t>
  </si>
  <si>
    <t>Secondary  Metabolites_Alkaloids_Quinazoline Alkaloids_ 
PMDB00353_Anisotine</t>
  </si>
  <si>
    <t>Anisotine</t>
  </si>
  <si>
    <t xml:space="preserve"> 
C10639</t>
  </si>
  <si>
    <t xml:space="preserve"> 
PMDB00353</t>
  </si>
  <si>
    <t>C15 H32 N3 P S2</t>
  </si>
  <si>
    <t>Secondary  Metabolites_Phenolics
_Minor Flavonoids_PMDB00569_Farrerol</t>
  </si>
  <si>
    <t>Farrerol</t>
  </si>
  <si>
    <t xml:space="preserve"> 
C09734</t>
  </si>
  <si>
    <t>PMDB00569</t>
  </si>
  <si>
    <t>C14 H29 N4 O P</t>
  </si>
  <si>
    <t xml:space="preserve">Secondary  Metabolites_Alkaloids_Other Alkaloids_PMDB00450_Calystegin B2
</t>
  </si>
  <si>
    <t xml:space="preserve">Calystegin B2
</t>
  </si>
  <si>
    <t>C10851</t>
  </si>
  <si>
    <t>PMDB00450</t>
  </si>
  <si>
    <t>C7 H N3 O3</t>
  </si>
  <si>
    <t>Secondary  Metabolites_Terpenoids_Carotenoids_PMDB00746_Azafrin</t>
  </si>
  <si>
    <t>Azafrin</t>
  </si>
  <si>
    <t xml:space="preserve"> 
C08581</t>
  </si>
  <si>
    <t>PMDB00746</t>
  </si>
  <si>
    <t>Secondary  Metabolites_Alkaloids_Other Alkaloids_ 
PMDB00393_Matrine</t>
  </si>
  <si>
    <t>Matrine</t>
  </si>
  <si>
    <t>C10774</t>
  </si>
  <si>
    <t xml:space="preserve"> 
PMDB00393</t>
  </si>
  <si>
    <t>C12 H20 N6</t>
  </si>
  <si>
    <t>Hormones_Gibberellins
_Gibberellins
_PMDB00974
_ 
gibberellin 17</t>
  </si>
  <si>
    <t xml:space="preserve"> 
gibberellin 17</t>
  </si>
  <si>
    <t xml:space="preserve">PMDB00974
</t>
  </si>
  <si>
    <t>C16 H19 N4 O3 P S</t>
  </si>
  <si>
    <t>Secondary  Metabolites_Terpenoids_Other Terpenoids_PMDB00784_Messagenin</t>
  </si>
  <si>
    <t>Messagenin</t>
  </si>
  <si>
    <t xml:space="preserve"> 
C08631</t>
  </si>
  <si>
    <t>PMDB00784</t>
  </si>
  <si>
    <t>C27 H42 N2 O3</t>
  </si>
  <si>
    <t>Secondary  Metabolites_Alkaloids_Other Alkaloids_ 
PMDB00282_Fawcettidine</t>
  </si>
  <si>
    <t>Fawcettidine</t>
  </si>
  <si>
    <t xml:space="preserve"> 
C09862</t>
  </si>
  <si>
    <t xml:space="preserve"> 
PMDB00282</t>
  </si>
  <si>
    <t>C10 H27 N7</t>
  </si>
  <si>
    <t>Secondary  Metabolites_Terpenoids_Monoterpenoids_PMDB00656_ 
Geranyl acetate</t>
  </si>
  <si>
    <t xml:space="preserve"> 
Geranyl acetate</t>
  </si>
  <si>
    <t xml:space="preserve"> 
C09861</t>
  </si>
  <si>
    <t>PMDB00656</t>
  </si>
  <si>
    <t>C5 H17 N4 O2 P</t>
  </si>
  <si>
    <t>Secondary  Metabolites_Phenolics
_Isoflavonoids
_PMDB00858_Cajanol</t>
  </si>
  <si>
    <t>Cajanol</t>
  </si>
  <si>
    <t xml:space="preserve"> 
C10204</t>
  </si>
  <si>
    <t>PMDB00858</t>
  </si>
  <si>
    <t>C17 H33 O P S</t>
  </si>
  <si>
    <t>Secondary  Metabolites_Alkaloids_Peptide Alkaloids_ 
PMDB00337_Crenatine A</t>
  </si>
  <si>
    <t>Crenatine A</t>
  </si>
  <si>
    <t xml:space="preserve"> 
C10002</t>
  </si>
  <si>
    <t xml:space="preserve"> 
PMDB00337</t>
  </si>
  <si>
    <t>C33 H44 O8</t>
  </si>
  <si>
    <t>Secondary  Metabolites_Alkaloids_Diterpenoid Alkaloids
_PMDB00139_Spiramine A</t>
  </si>
  <si>
    <t>Spiramine A</t>
  </si>
  <si>
    <t xml:space="preserve"> 
C08709</t>
  </si>
  <si>
    <t>PMDB00139</t>
  </si>
  <si>
    <t>C12 H29 N7 O8</t>
  </si>
  <si>
    <t>Secondary  Metabolites_Alkaloids_Indole Alkaloids_PMDB00167_Aspidofractine</t>
  </si>
  <si>
    <t>Aspidofractine</t>
  </si>
  <si>
    <t>C09040</t>
  </si>
  <si>
    <t>PMDB00167</t>
  </si>
  <si>
    <t>C25 H34 S</t>
  </si>
  <si>
    <t>Secondary  Metabolites_Phenolics
_Flavones
_PMDB00606_Azaleatin</t>
  </si>
  <si>
    <t>Azaleatin</t>
  </si>
  <si>
    <t xml:space="preserve"> 
C10022</t>
  </si>
  <si>
    <t>PMDB00606</t>
  </si>
  <si>
    <t>C15 H28 N2 O S2</t>
  </si>
  <si>
    <t xml:space="preserve">Secondary  Metabolites_Alkaloids_Other Alkaloids_PMDB00439_Anatoxin a
</t>
  </si>
  <si>
    <t xml:space="preserve">Anatoxin a
</t>
  </si>
  <si>
    <t xml:space="preserve"> 
C10841</t>
  </si>
  <si>
    <t>PMDB00439</t>
  </si>
  <si>
    <t>C3 H7 N3 O5</t>
  </si>
  <si>
    <t>Secondary  Metabolites_Alkaloids_Betalain Alkaloids_PMDB00063_Gomphrenin-V</t>
  </si>
  <si>
    <t>Gomphrenin-V</t>
  </si>
  <si>
    <t xml:space="preserve"> 
C08547  </t>
  </si>
  <si>
    <t>PMDB00063</t>
  </si>
  <si>
    <t>Secondary  Metabolites_Alkaloids_Acridone Alkaloids_ 
PMDB00374_Melicopicine</t>
  </si>
  <si>
    <t>Melicopicine</t>
  </si>
  <si>
    <t xml:space="preserve"> 
C10722</t>
  </si>
  <si>
    <t xml:space="preserve"> 
PMDB00374</t>
  </si>
  <si>
    <t>C16 H39 N7</t>
  </si>
  <si>
    <t>Secondary  Metabolites_Alkaloids_Other Alkaloids_ 
PMDB00381_Anagyrine</t>
  </si>
  <si>
    <t>Anagyrine</t>
  </si>
  <si>
    <t xml:space="preserve"> 
C10750</t>
  </si>
  <si>
    <t xml:space="preserve"> 
PMDB00381</t>
  </si>
  <si>
    <t>C16 H20 S</t>
  </si>
  <si>
    <t>Hormones_Jasmonates_Jasmonates_PMDB01007_Jasmonic acid</t>
  </si>
  <si>
    <t>Jasmonic acid</t>
  </si>
  <si>
    <t>C08491</t>
  </si>
  <si>
    <t>PMDB01007</t>
  </si>
  <si>
    <t>Secondary  Metabolites_Alkaloids_Peptide Alkaloids_PMDB00342_Integerrine</t>
  </si>
  <si>
    <t>Integerrine</t>
  </si>
  <si>
    <t xml:space="preserve"> 
C10007</t>
  </si>
  <si>
    <t>PMDB00342</t>
  </si>
  <si>
    <t>C29 H56 N O9 P</t>
  </si>
  <si>
    <t>Secondary  Metabolites_Alkaloids_Diterpenoid Alkaloids
_PMDB00114_Finaconitine</t>
  </si>
  <si>
    <t>Finaconitine</t>
  </si>
  <si>
    <t xml:space="preserve"> 
C08684</t>
  </si>
  <si>
    <t>PMDB00114</t>
  </si>
  <si>
    <t>C34 H63 O8 P</t>
  </si>
  <si>
    <t>Secondary  Metabolites_Alkaloids_Indole Alkaloids_ 
PMDB00253_ 
Sarpagine</t>
  </si>
  <si>
    <t xml:space="preserve"> 
Sarpagine</t>
  </si>
  <si>
    <t>C09239</t>
  </si>
  <si>
    <t xml:space="preserve"> 
PMDB00253</t>
  </si>
  <si>
    <t>C18 H34 N2 O2</t>
  </si>
  <si>
    <t>Secondary  Metabolites_Alkaloids_Indole Alkaloids_ 
PMDB00268_Vincamine</t>
  </si>
  <si>
    <t>Vincamine</t>
  </si>
  <si>
    <t>C09251</t>
  </si>
  <si>
    <t xml:space="preserve"> 
PMDB00268</t>
  </si>
  <si>
    <t>Secondary  Metabolites_Phenolics
_Isoflavonoids
_PMDB00874_Homoferreirin</t>
  </si>
  <si>
    <t>Homoferreirin</t>
  </si>
  <si>
    <t xml:space="preserve"> 
C10457</t>
  </si>
  <si>
    <t>PMDB00874</t>
  </si>
  <si>
    <t>Secondary  Metabolites_Phenolics
_Isoflavonoids
_PMDB00884_Maackiain</t>
  </si>
  <si>
    <t>Maackiain</t>
  </si>
  <si>
    <t xml:space="preserve"> 
C10502</t>
  </si>
  <si>
    <t>PMDB00884</t>
  </si>
  <si>
    <t>C16 H29 P S</t>
  </si>
  <si>
    <t>Secondary  Metabolites_Phenolics
_Quinones
_PMDB00815_Digiferrugineol</t>
  </si>
  <si>
    <t>Digiferrugineol</t>
  </si>
  <si>
    <t xml:space="preserve"> 
C10327</t>
  </si>
  <si>
    <t>PMDB00815</t>
  </si>
  <si>
    <t>C12 H14 O4 S</t>
  </si>
  <si>
    <t>Hormones_Brassinosteroids_Brassinosteroids_PMDB00957_campest-5-en-3-one</t>
  </si>
  <si>
    <t>campest-5-en-3-one</t>
  </si>
  <si>
    <t>PMDB00957</t>
  </si>
  <si>
    <t>[M+DMSO+H]+1</t>
  </si>
  <si>
    <t>C19 H39 N6 O P</t>
  </si>
  <si>
    <t>Secondary  Metabolites_Alkaloids_Diterpenoid Alkaloids
_PMDB00132_Nudicauline</t>
  </si>
  <si>
    <t>Nudicauline</t>
  </si>
  <si>
    <t xml:space="preserve"> 
C08702</t>
  </si>
  <si>
    <t>PMDB00132</t>
  </si>
  <si>
    <t>C34 H63 O13 P</t>
  </si>
  <si>
    <t>Secondary  Metabolites_Terpenoids_Triterpenoid Saponins_PMDB00672_Colubrin</t>
  </si>
  <si>
    <t>Colubrin</t>
  </si>
  <si>
    <t xml:space="preserve"> 
C08936</t>
  </si>
  <si>
    <t>PMDB00672</t>
  </si>
  <si>
    <t>C42 H89 N9 O10 P2</t>
  </si>
  <si>
    <t>Secondary  Metabolites_Terpenoids_Carotenoids_PMDB00767
_Norbixin</t>
  </si>
  <si>
    <t>Norbixin</t>
  </si>
  <si>
    <t xml:space="preserve"> 
C08608</t>
  </si>
  <si>
    <t xml:space="preserve">PMDB00767
</t>
  </si>
  <si>
    <t>C26 H36 S</t>
  </si>
  <si>
    <t>Secondary  Metabolites_Terpenoids_Diterpenoids_PMDB00623_Callicarpone</t>
  </si>
  <si>
    <t>Callicarpone</t>
  </si>
  <si>
    <t xml:space="preserve"> 
C09067</t>
  </si>
  <si>
    <t>PMDB00623</t>
  </si>
  <si>
    <t>C17 H36 N2 S2</t>
  </si>
  <si>
    <t>Secondary  Metabolites_Phenolics
_Isoflavonoids
_PMDB00857_Cajanin</t>
  </si>
  <si>
    <t>Cajanin</t>
  </si>
  <si>
    <t xml:space="preserve"> 
C10203</t>
  </si>
  <si>
    <t>PMDB00857</t>
  </si>
  <si>
    <t>C16 H24 N6</t>
  </si>
  <si>
    <t>Secondary  Metabolites_Terpenoids_Triterpenoid Saponins_PMDB00685
_Primulasaponin</t>
  </si>
  <si>
    <t>Primulasaponin</t>
  </si>
  <si>
    <t xml:space="preserve"> 
C08970</t>
  </si>
  <si>
    <t xml:space="preserve">PMDB00685
</t>
  </si>
  <si>
    <t>C53 H100 N5 O12 P3</t>
  </si>
  <si>
    <t>Hormones_Gibberellins
_Gibberellins
_PMDB00964_(2-OH)-GA28</t>
  </si>
  <si>
    <t>(2-OH)-GA28</t>
  </si>
  <si>
    <t>PMDB00964</t>
  </si>
  <si>
    <t>C18 H38 N2 O8</t>
  </si>
  <si>
    <t>Secondary  Metabolites_Terpenoids_Steroid Saponins_PMDB00716_ 
Yamogenin</t>
  </si>
  <si>
    <t xml:space="preserve"> 
Yamogenin</t>
  </si>
  <si>
    <t xml:space="preserve"> 
C08918</t>
  </si>
  <si>
    <t>PMDB00716</t>
  </si>
  <si>
    <t>C26 H30 N4 O</t>
  </si>
  <si>
    <t>Hormones_Gibberellins
_Gibberellins
_PMDB00997_Gibberellin A7</t>
  </si>
  <si>
    <t>Gibberellin A7</t>
  </si>
  <si>
    <t xml:space="preserve"> 
C11867</t>
  </si>
  <si>
    <t>PMDB00997</t>
  </si>
  <si>
    <t>C18 H34 O5</t>
  </si>
  <si>
    <t xml:space="preserve">Secondary  Metabolites_Alkaloids_Diterpenoid Alkaloids
_ 
PMDB00087_Anhwiedelphinine
</t>
  </si>
  <si>
    <t xml:space="preserve">Anhwiedelphinine
</t>
  </si>
  <si>
    <t xml:space="preserve"> 
C08657</t>
  </si>
  <si>
    <t xml:space="preserve"> 
PMDB00087</t>
  </si>
  <si>
    <t>C36 H61 O8 P</t>
  </si>
  <si>
    <t>Secondary  Metabolites_Phenolics
_Quinones
_PMDB00791_Acamelin</t>
  </si>
  <si>
    <t>Acamelin</t>
  </si>
  <si>
    <t xml:space="preserve"> 
C10290</t>
  </si>
  <si>
    <t>PMDB00791</t>
  </si>
  <si>
    <t>Secondary  Metabolites_Phenolics
_Tannins
_PMDB00925_Casuarinin</t>
  </si>
  <si>
    <t>Casuarinin</t>
  </si>
  <si>
    <t xml:space="preserve"> 
C10213</t>
  </si>
  <si>
    <t>PMDB00925</t>
  </si>
  <si>
    <t>C39 H86 N7 O10 P3 S</t>
  </si>
  <si>
    <t>Secondary  Metabolites_Terpenoids_Steroid Saponins_PMDB00696_ 
Convallamaroside</t>
  </si>
  <si>
    <t xml:space="preserve"> 
Convallamaroside</t>
  </si>
  <si>
    <t xml:space="preserve"> 
C08892</t>
  </si>
  <si>
    <t>PMDB00696</t>
  </si>
  <si>
    <t>C59 H112 N4 O15 P2 S</t>
  </si>
  <si>
    <t>Secondary  Metabolites_Alkaloids_Diterpenoid Alkaloids
_PMDB00121
_Indaconitine</t>
  </si>
  <si>
    <t>Indaconitine</t>
  </si>
  <si>
    <t xml:space="preserve"> 
C08691</t>
  </si>
  <si>
    <t xml:space="preserve">PMDB00121
</t>
  </si>
  <si>
    <t>C22 H48 O6 P2 S5</t>
  </si>
  <si>
    <t>Hormones_Gibberellins
_Gibberellins
_PMDB00999_ 
Gibberellin A8-catabolite</t>
  </si>
  <si>
    <t xml:space="preserve"> 
Gibberellin A8-catabolite</t>
  </si>
  <si>
    <t xml:space="preserve"> 
C11870</t>
  </si>
  <si>
    <t>PMDB00999</t>
  </si>
  <si>
    <t>C20 H26 O6</t>
  </si>
  <si>
    <t>Secondary  Metabolites_Alkaloids_Indole Alkaloids_PMDB00209_Ergotamine</t>
  </si>
  <si>
    <t>Ergotamine</t>
  </si>
  <si>
    <t xml:space="preserve"> 
C07544</t>
  </si>
  <si>
    <t>PMDB00209</t>
  </si>
  <si>
    <t>C26 H47 O12 P</t>
  </si>
  <si>
    <t>Secondary  Metabolites_Terpenoids_Diterpenoids_PMDB00626_Chasmanthin</t>
  </si>
  <si>
    <t>Chasmanthin</t>
  </si>
  <si>
    <t>C09073</t>
  </si>
  <si>
    <t>PMDB00626</t>
  </si>
  <si>
    <t>C19 H38 N2 O5</t>
  </si>
  <si>
    <t>Secondary  Metabolites_Phenolics
_Isoflavonoids
_PMDB00891_Orobol</t>
  </si>
  <si>
    <t>Orobol</t>
  </si>
  <si>
    <t>C10510</t>
  </si>
  <si>
    <t>PMDB00891</t>
  </si>
  <si>
    <t>C15 H22 N6</t>
  </si>
  <si>
    <t>Secondary  Metabolites_Alkaloids_Other Alkaloids_ 
PMDB00392_ 
Cytisine</t>
  </si>
  <si>
    <t xml:space="preserve"> 
Cytisine</t>
  </si>
  <si>
    <t xml:space="preserve"> 
C10763</t>
  </si>
  <si>
    <t xml:space="preserve"> 
PMDB00392</t>
  </si>
  <si>
    <t>Secondary  Metabolites_Alkaloids_Quinazoline Alkaloids_ 
PMDB00355_ 
Deoxypeganine</t>
  </si>
  <si>
    <t xml:space="preserve"> 
Deoxypeganine</t>
  </si>
  <si>
    <t>C10656</t>
  </si>
  <si>
    <t xml:space="preserve"> 
PMDB00355</t>
  </si>
  <si>
    <t>Secondary  Metabolites_Phenolics
_Anthocyanins
_PMDB00518_Isoliquiritigenin</t>
  </si>
  <si>
    <t>Isoliquiritigenin</t>
  </si>
  <si>
    <t xml:space="preserve"> 
C08650</t>
  </si>
  <si>
    <t>PMDB00518</t>
  </si>
  <si>
    <t>Secondary  Metabolites_Terpenoids_Triterpenoid Saponins_PMDB00681_Lemmatoxin</t>
  </si>
  <si>
    <t>Lemmatoxin</t>
  </si>
  <si>
    <t xml:space="preserve"> 
C08958</t>
  </si>
  <si>
    <t>PMDB00681</t>
  </si>
  <si>
    <t>C47 H86 N6 O13</t>
  </si>
  <si>
    <t>Secondary  Metabolites_Alkaloids_Other Alkaloids_ 
PMDB00390_ 
Caulophylline</t>
  </si>
  <si>
    <t xml:space="preserve"> 
Caulophylline</t>
  </si>
  <si>
    <t xml:space="preserve"> 
C10760</t>
  </si>
  <si>
    <t xml:space="preserve"> 
PMDB00390</t>
  </si>
  <si>
    <t>C5 H12 N6 O3</t>
  </si>
  <si>
    <t>Secondary  Metabolites_Others_Others_PMDB00039_Caranine</t>
  </si>
  <si>
    <t>Caranine</t>
  </si>
  <si>
    <t>C08521</t>
  </si>
  <si>
    <t>PMDB00039</t>
  </si>
  <si>
    <t>C12 H29 N7</t>
  </si>
  <si>
    <t>Secondary  Metabolites_Alkaloids_Other Alkaloids_ 
PMDB00378_ 
Albine</t>
  </si>
  <si>
    <t xml:space="preserve"> 
Albine</t>
  </si>
  <si>
    <t xml:space="preserve"> 
C10747</t>
  </si>
  <si>
    <t xml:space="preserve"> 
PMDB00378</t>
  </si>
  <si>
    <t>C10 H25 N4 P</t>
  </si>
  <si>
    <t>Secondary  Metabolites_Alkaloids_Other Alkaloids_PMDB00494_Armepavine</t>
  </si>
  <si>
    <t>Armepavine</t>
  </si>
  <si>
    <t xml:space="preserve"> 
C09342</t>
  </si>
  <si>
    <t>PMDB00494</t>
  </si>
  <si>
    <t>C11 H24 N O7 P</t>
  </si>
  <si>
    <t>Secondary  Metabolites_Alkaloids_Indole Alkaloids_PMDB00192_Chimonanthine</t>
  </si>
  <si>
    <t>Chimonanthine</t>
  </si>
  <si>
    <t xml:space="preserve"> 
C09133</t>
  </si>
  <si>
    <t>PMDB00192</t>
  </si>
  <si>
    <t>[M-H-H2O]-1</t>
  </si>
  <si>
    <t>C18 H34 O6</t>
  </si>
  <si>
    <t>Secondary  Metabolites_Terpenoids_Triterpenoid Saponins_PMDB00671_Cimicifugoside</t>
  </si>
  <si>
    <t>Cimicifugoside</t>
  </si>
  <si>
    <t xml:space="preserve"> 
C08935</t>
  </si>
  <si>
    <t>PMDB00671</t>
  </si>
  <si>
    <t>C44 H58 N4 O2</t>
  </si>
  <si>
    <t xml:space="preserve">Hormones_Brassinosteroids_Brassinosteroids_PMDB00961_Cathasterone
</t>
  </si>
  <si>
    <t xml:space="preserve">Cathasterone
</t>
  </si>
  <si>
    <t xml:space="preserve"> 
C15790</t>
  </si>
  <si>
    <t>PMDB00961</t>
  </si>
  <si>
    <t>C21 H40 N2 O7</t>
  </si>
  <si>
    <t>Secondary  Metabolites_Alkaloids_Indole Alkaloids_ 
PMDB00260_Tetrahydroharmine</t>
  </si>
  <si>
    <t>Tetrahydroharmine</t>
  </si>
  <si>
    <t xml:space="preserve"> 
C09243</t>
  </si>
  <si>
    <t xml:space="preserve"> 
PMDB00260</t>
  </si>
  <si>
    <t>C9 H21 N4 P</t>
  </si>
  <si>
    <t>Secondary  Metabolites_Phenolics
_Flavones
_PMDB00602
_Acerosin</t>
  </si>
  <si>
    <t>Acerosin</t>
  </si>
  <si>
    <t xml:space="preserve"> 
C09982</t>
  </si>
  <si>
    <t xml:space="preserve">PMDB00602
</t>
  </si>
  <si>
    <t>C19 H37 O2 P S</t>
  </si>
  <si>
    <t>Secondary  Metabolites_Alkaloids_Acridone Alkaloids_ 
PMDB00377_ 
Rutacridone epoxide</t>
  </si>
  <si>
    <t xml:space="preserve"> 
Rutacridone epoxide</t>
  </si>
  <si>
    <t xml:space="preserve"> 
C10739</t>
  </si>
  <si>
    <t xml:space="preserve"> 
PMDB00377</t>
  </si>
  <si>
    <t>C15 H29 N7 O</t>
  </si>
  <si>
    <t>Secondary  Metabolites_Alkaloids_Other Alkaloids_PMDB00472_Tropacocaine</t>
  </si>
  <si>
    <t>Tropacocaine</t>
  </si>
  <si>
    <t xml:space="preserve"> 
C10848</t>
  </si>
  <si>
    <t>PMDB00472</t>
  </si>
  <si>
    <t>Secondary  Metabolites_Alkaloids_Indole Alkaloids_PMDB00210_Eseramine</t>
  </si>
  <si>
    <t>Eseramine</t>
  </si>
  <si>
    <t xml:space="preserve"> 
C09170</t>
  </si>
  <si>
    <t>PMDB00210</t>
  </si>
  <si>
    <t>C5 H14 N6 O8 S</t>
  </si>
  <si>
    <t>Secondary  Metabolites_Others_Others_PMDB00004_D-glucose</t>
  </si>
  <si>
    <t>D-glucose</t>
  </si>
  <si>
    <t xml:space="preserve"> 
C00031</t>
  </si>
  <si>
    <t>PMDB00004</t>
  </si>
  <si>
    <t>C5 H17 N4 O P</t>
  </si>
  <si>
    <t>Secondary  Metabolites_Alkaloids_Other Alkaloids_ 
PMDB00284_ 
Flabellidine</t>
  </si>
  <si>
    <t xml:space="preserve"> 
Flabellidine</t>
  </si>
  <si>
    <t xml:space="preserve"> 
C09865</t>
  </si>
  <si>
    <t xml:space="preserve"> 
PMDB00284</t>
  </si>
  <si>
    <t>C14 H33 N4 P</t>
  </si>
  <si>
    <t>Secondary  Metabolites_Alkaloids_Other Alkaloids_ 
PMDB00306_Bakankoside</t>
  </si>
  <si>
    <t>Bakankoside</t>
  </si>
  <si>
    <t xml:space="preserve"> 
C09914</t>
  </si>
  <si>
    <t xml:space="preserve"> 
PMDB00306</t>
  </si>
  <si>
    <t>C11 H31 N7 O2 S2</t>
  </si>
  <si>
    <t>Secondary  Metabolites_Alkaloids_Indole Alkaloids_PMDB00229_Isoajmaline</t>
  </si>
  <si>
    <t>Isoajmaline</t>
  </si>
  <si>
    <t xml:space="preserve"> 
C09217</t>
  </si>
  <si>
    <t>PMDB00229</t>
  </si>
  <si>
    <t>Secondary  Metabolites_Alkaloids_Indole Alkaloids_ 
PMDB00262_ 
Toxiferine I</t>
  </si>
  <si>
    <t xml:space="preserve"> 
Toxiferine I</t>
  </si>
  <si>
    <t xml:space="preserve"> 
C09246</t>
  </si>
  <si>
    <t xml:space="preserve"> 
PMDB00262</t>
  </si>
  <si>
    <t>C40 H54 O5</t>
  </si>
  <si>
    <t>Secondary  Metabolites_Alkaloids_Diterpenoid Alkaloids
_PMDB00128_ 
Mesaconitine</t>
  </si>
  <si>
    <t xml:space="preserve"> 
Mesaconitine</t>
  </si>
  <si>
    <t xml:space="preserve"> 
C08698</t>
  </si>
  <si>
    <t>PMDB00128</t>
  </si>
  <si>
    <t>C33 H62 N O8 P</t>
  </si>
  <si>
    <t>Secondary  Metabolites_Phenolics
_Minor Flavonoids_ 
PMDB00551_Abyssinone I</t>
  </si>
  <si>
    <t>Abyssinone I</t>
  </si>
  <si>
    <t xml:space="preserve"> 
C09318</t>
  </si>
  <si>
    <t xml:space="preserve"> 
PMDB00551</t>
  </si>
  <si>
    <t>Secondary  Metabolites_Alkaloids_Other Alkaloids_PMDB00424_Protoverine</t>
  </si>
  <si>
    <t>Protoverine</t>
  </si>
  <si>
    <t>C10817</t>
  </si>
  <si>
    <t>PMDB00424</t>
  </si>
  <si>
    <t>C15 H28 N9 O6 P S2</t>
  </si>
  <si>
    <t>Secondary  Metabolites_Phenolics
_Quinones
_PMDB00825
_Geranylbenzoquinone</t>
  </si>
  <si>
    <t>Geranylbenzoquinone</t>
  </si>
  <si>
    <t>C10351</t>
  </si>
  <si>
    <t xml:space="preserve">PMDB00825
</t>
  </si>
  <si>
    <t>C8 H16 N6 O3</t>
  </si>
  <si>
    <t>Hormones_Jasmonates_Jasmonates_PMDB01005_jasmonate</t>
  </si>
  <si>
    <t>jasmonate</t>
  </si>
  <si>
    <t>PMDB01005</t>
  </si>
  <si>
    <t>Secondary  Metabolites_Alkaloids_Indole Alkaloids_ 
PMDB00147_1-Acetylaspidoalbidine</t>
  </si>
  <si>
    <t>1-Acetylaspidoalbidine</t>
  </si>
  <si>
    <t xml:space="preserve"> 
C09019</t>
  </si>
  <si>
    <t xml:space="preserve"> 
PMDB00147</t>
  </si>
  <si>
    <t>C18 H27 O2 P S</t>
  </si>
  <si>
    <t xml:space="preserve">Secondary  Metabolites_Alkaloids_Betalain Alkaloids_PMDB00079_Portulacaxanthin III
</t>
  </si>
  <si>
    <t xml:space="preserve">Portulacaxanthin III
</t>
  </si>
  <si>
    <t>C08566</t>
  </si>
  <si>
    <t>PMDB00079</t>
  </si>
  <si>
    <t>C13 H25 N4 P</t>
  </si>
  <si>
    <t>Secondary  Metabolites_Terpenoids_Diterpenoids_PMDB00629_Enmein</t>
  </si>
  <si>
    <t>Enmein</t>
  </si>
  <si>
    <t xml:space="preserve"> 
C09090</t>
  </si>
  <si>
    <t>PMDB00629</t>
  </si>
  <si>
    <t>Secondary  Metabolites_Phenolics
_Isoflavonoids
_PMDB00898_ 
Piscerythramine</t>
  </si>
  <si>
    <t xml:space="preserve"> 
Piscerythramine</t>
  </si>
  <si>
    <t xml:space="preserve"> 
C10518</t>
  </si>
  <si>
    <t>PMDB00898</t>
  </si>
  <si>
    <t>Secondary  Metabolites_Alkaloids_Other Alkaloids_PMDB00486_ 
Amurensine</t>
  </si>
  <si>
    <t xml:space="preserve"> 
Amurensine</t>
  </si>
  <si>
    <t xml:space="preserve"> 
C09333</t>
  </si>
  <si>
    <t>PMDB00486</t>
  </si>
  <si>
    <t>C20 H23 N O S</t>
  </si>
  <si>
    <t>Secondary  Metabolites_Alkaloids_Acridone Alkaloids_ 
PMDB00366_Arborinine</t>
  </si>
  <si>
    <t>Arborinine</t>
  </si>
  <si>
    <t>C10643</t>
  </si>
  <si>
    <t xml:space="preserve"> 
PMDB00366</t>
  </si>
  <si>
    <t>C14 H13 N3 P2</t>
  </si>
  <si>
    <t>Secondary  Metabolites_Alkaloids_Indole Alkaloids_PMDB00225_11-Hydroxycanthin-6-one</t>
  </si>
  <si>
    <t>11-Hydroxycanthin-6-one</t>
  </si>
  <si>
    <t>C09212</t>
  </si>
  <si>
    <t>PMDB00225</t>
  </si>
  <si>
    <t>Secondary  Metabolites_Others_Others_PMDB00009_Beta-sitosterol</t>
  </si>
  <si>
    <t>Beta-sitosterol</t>
  </si>
  <si>
    <t>PMDB00009</t>
  </si>
  <si>
    <t>C27 H42 O3</t>
  </si>
  <si>
    <t>Secondary  Metabolites_Phenolics
_Isoflavonoids
_PMDB00863_ 
Daidzin</t>
  </si>
  <si>
    <t xml:space="preserve"> 
Daidzin</t>
  </si>
  <si>
    <t xml:space="preserve"> 
C10216</t>
  </si>
  <si>
    <t>PMDB00863</t>
  </si>
  <si>
    <t>Secondary  Metabolites_Terpenoids_Monoterpenoids_PMDB00643_ 
Camphor</t>
  </si>
  <si>
    <t xml:space="preserve"> 
Camphor</t>
  </si>
  <si>
    <t xml:space="preserve"> 
C00808</t>
  </si>
  <si>
    <t>PMDB00643</t>
  </si>
  <si>
    <t>C9 H12 S</t>
  </si>
  <si>
    <t>Secondary  Metabolites_Phenolics
_Tannins
_PMDB00924_ 
Casuarictin</t>
  </si>
  <si>
    <t xml:space="preserve"> 
Casuarictin</t>
  </si>
  <si>
    <t>C10212</t>
  </si>
  <si>
    <t>PMDB00924</t>
  </si>
  <si>
    <t>Secondary  Metabolites_Alkaloids_Diterpenoid Alkaloids
_PMDB00086_Ajaconine</t>
  </si>
  <si>
    <t>Ajaconine</t>
  </si>
  <si>
    <t xml:space="preserve"> 
C08656</t>
  </si>
  <si>
    <t>PMDB00086</t>
  </si>
  <si>
    <t>C13 H32 N O4 P3</t>
  </si>
  <si>
    <t>Hormones_Abscisic acid
_Abscisic acid
_PMDB01014_Phaseic acid</t>
  </si>
  <si>
    <t>Phaseic acid</t>
  </si>
  <si>
    <t>C09707</t>
  </si>
  <si>
    <t>PMDB01014</t>
  </si>
  <si>
    <t>Secondary  Metabolites_Phenolics
_Anthocyanins
_PMDB00503_Aurantinidin</t>
  </si>
  <si>
    <t>Aurantinidin</t>
  </si>
  <si>
    <t xml:space="preserve"> 
C08575</t>
  </si>
  <si>
    <t>PMDB00503</t>
  </si>
  <si>
    <t>Secondary  Metabolites_Phenolics
_Isoflavonoids
_PMDB00906_Rotenonone</t>
  </si>
  <si>
    <t>Rotenonone</t>
  </si>
  <si>
    <t xml:space="preserve"> 
C10525</t>
  </si>
  <si>
    <t>PMDB00906</t>
  </si>
  <si>
    <t>C20 H44 N2 P2 S</t>
  </si>
  <si>
    <t>Secondary  Metabolites_Terpenoids_Monoterpenoids_PMDB00665_ 
Thymol</t>
  </si>
  <si>
    <t xml:space="preserve"> 
Thymol</t>
  </si>
  <si>
    <t xml:space="preserve"> 
C09908</t>
  </si>
  <si>
    <t>PMDB00665</t>
  </si>
  <si>
    <t>Secondary  Metabolites_Alkaloids_Peptide Alkaloids_PMDB00344_Mucronine A</t>
  </si>
  <si>
    <t>Mucronine A</t>
  </si>
  <si>
    <t>C10009</t>
  </si>
  <si>
    <t>PMDB00344</t>
  </si>
  <si>
    <t>C21 H46 N8 O2 S2</t>
  </si>
  <si>
    <t>Secondary  Metabolites_Terpenoids_Carotenoids_PMDB00766_ 
Neurosporaxanthin</t>
  </si>
  <si>
    <t xml:space="preserve"> 
Neurosporaxanthin</t>
  </si>
  <si>
    <t xml:space="preserve"> 
C08607</t>
  </si>
  <si>
    <t>PMDB00766</t>
  </si>
  <si>
    <t>C39 H48 O3</t>
  </si>
  <si>
    <t>Secondary  Metabolites_Terpenoids_Carotenoids_PMDB00763_ 
Lycoxanthin</t>
  </si>
  <si>
    <t xml:space="preserve"> 
Lycoxanthin</t>
  </si>
  <si>
    <t>PMDB00763</t>
  </si>
  <si>
    <t>C35 H38 O2 P2</t>
  </si>
  <si>
    <t>Secondary  Metabolites_Alkaloids_Other Alkaloids_ 
PMDB00290_Lycodine</t>
  </si>
  <si>
    <t>Lycodine</t>
  </si>
  <si>
    <t>C09876</t>
  </si>
  <si>
    <t xml:space="preserve"> 
PMDB00290</t>
  </si>
  <si>
    <t>Secondary  Metabolites_Phenolics
_Quinones
_PMDB00826_Hibiscoquinone A</t>
  </si>
  <si>
    <t>Hibiscoquinone A</t>
  </si>
  <si>
    <t xml:space="preserve"> 
C10352</t>
  </si>
  <si>
    <t>PMDB00826</t>
  </si>
  <si>
    <t>C5 H15 Cl N6 S2</t>
  </si>
  <si>
    <t>Secondary  Metabolites_Alkaloids_Indole Alkaloids_PMDB00215_Gabunine</t>
  </si>
  <si>
    <t>Gabunine</t>
  </si>
  <si>
    <t xml:space="preserve"> 
C09195</t>
  </si>
  <si>
    <t>PMDB00215</t>
  </si>
  <si>
    <t>C36 H67 O10 P</t>
  </si>
  <si>
    <t>Secondary  Metabolites_Alkaloids_Other Alkaloids_ 
PMDB00386_ 
Baptifoline</t>
  </si>
  <si>
    <t xml:space="preserve"> 
Baptifoline</t>
  </si>
  <si>
    <t xml:space="preserve">C10755
</t>
  </si>
  <si>
    <t xml:space="preserve"> 
PMDB00386</t>
  </si>
  <si>
    <t>C8 H8 N2 O8</t>
  </si>
  <si>
    <t>Secondary  Metabolites_Phenolics
_Quinones
_PMDB00798
_Ardisianone</t>
  </si>
  <si>
    <t>Ardisianone</t>
  </si>
  <si>
    <t xml:space="preserve"> 
C10298</t>
  </si>
  <si>
    <t xml:space="preserve">PMDB00798
</t>
  </si>
  <si>
    <t>C23 H38 N2 O4</t>
  </si>
  <si>
    <t>Secondary  Metabolites_Phenolics
_Benzofurans
_ 
PMDB00539_ 
Lithospermic acid</t>
  </si>
  <si>
    <t xml:space="preserve"> 
Lithospermic acid</t>
  </si>
  <si>
    <t>C08745</t>
  </si>
  <si>
    <t xml:space="preserve"> 
PMDB00539</t>
  </si>
  <si>
    <t>[M+ACN+H]+1</t>
  </si>
  <si>
    <t>Secondary  Metabolites_Alkaloids_Other Alkaloids_PMDB00411_Cyclopamine</t>
  </si>
  <si>
    <t>Cyclopamine</t>
  </si>
  <si>
    <t xml:space="preserve"> 
C10798</t>
  </si>
  <si>
    <t>PMDB00411</t>
  </si>
  <si>
    <t>C9 H13 Cl N8 O9</t>
  </si>
  <si>
    <t>Secondary  Metabolites_Alkaloids_Diterpenoid Alkaloids
_PMDB00101_Condelphine</t>
  </si>
  <si>
    <t>Condelphine</t>
  </si>
  <si>
    <t xml:space="preserve"> 
C08671</t>
  </si>
  <si>
    <t>PMDB00101</t>
  </si>
  <si>
    <t>Secondary  Metabolites_Phenolics
_Isoflavonoids
_PMDB00899_ 
Pomiferin</t>
  </si>
  <si>
    <t xml:space="preserve"> 
Pomiferin</t>
  </si>
  <si>
    <t xml:space="preserve"> 
C10519</t>
  </si>
  <si>
    <t>PMDB00899</t>
  </si>
  <si>
    <t>C23 H34 O3 P2</t>
  </si>
  <si>
    <t>Secondary  Metabolites_Terpenoids_Diterpenoids_PMDB00616_Abietate</t>
  </si>
  <si>
    <t>Abietate</t>
  </si>
  <si>
    <t xml:space="preserve"> 
C06087</t>
  </si>
  <si>
    <t>PMDB00616</t>
  </si>
  <si>
    <t>Secondary  Metabolites_Alkaloids_Indole Alkaloids_PMDB00179_Brucine</t>
  </si>
  <si>
    <t>Brucine</t>
  </si>
  <si>
    <t>C09084</t>
  </si>
  <si>
    <t>PMDB00179</t>
  </si>
  <si>
    <t>C19 H44 N2 P2 S</t>
  </si>
  <si>
    <t>Secondary  Metabolites_Alkaloids_Peptide Alkaloids_PMDB00340_Integerrenine</t>
  </si>
  <si>
    <t>Integerrenine</t>
  </si>
  <si>
    <t xml:space="preserve"> 
C10005</t>
  </si>
  <si>
    <t>PMDB00340</t>
  </si>
  <si>
    <t>C33 H42 O6</t>
  </si>
  <si>
    <t>Secondary  Metabolites_Others_Others_PMDB00025_leucocyanidin</t>
  </si>
  <si>
    <t>leucocyanidin</t>
  </si>
  <si>
    <t>PMDB00025</t>
  </si>
  <si>
    <t>C15 H26 N6 O</t>
  </si>
  <si>
    <t>Secondary  Metabolites_Alkaloids_Indole Alkaloids_PMDB00191_Chanoclavine-I</t>
  </si>
  <si>
    <t>Chanoclavine-I</t>
  </si>
  <si>
    <t xml:space="preserve"> 
C09131</t>
  </si>
  <si>
    <t>PMDB00191</t>
  </si>
  <si>
    <t>Secondary  Metabolites_Terpenoids_Monoterpenoids_PMDB00647_Chrysanthenone</t>
  </si>
  <si>
    <t>Chrysanthenone</t>
  </si>
  <si>
    <t xml:space="preserve"> 
C09843</t>
  </si>
  <si>
    <t>PMDB00647</t>
  </si>
  <si>
    <t>Secondary  Metabolites_Phenolics
_Benzofurans
_PMDB00536_ 
Eriobofuran</t>
  </si>
  <si>
    <t xml:space="preserve"> 
Eriobofuran</t>
  </si>
  <si>
    <t xml:space="preserve"> 
C08743</t>
  </si>
  <si>
    <t>PMDB00536</t>
  </si>
  <si>
    <t>C10 H12 N8</t>
  </si>
  <si>
    <t>Secondary  Metabolites_Phenolics
_Isoflavonoids
_PMDB00900_ 
Pratensein</t>
  </si>
  <si>
    <t xml:space="preserve"> 
Pratensein</t>
  </si>
  <si>
    <t xml:space="preserve"> 
C10520</t>
  </si>
  <si>
    <t>PMDB00900</t>
  </si>
  <si>
    <t>C7 H21 N6 O5 P</t>
  </si>
  <si>
    <t>Secondary  Metabolites_Alkaloids_Indole Alkaloids_ 
PMDB00242_Perlolyrine</t>
  </si>
  <si>
    <t>Perlolyrine</t>
  </si>
  <si>
    <t xml:space="preserve"> 
C09231</t>
  </si>
  <si>
    <t xml:space="preserve"> 
PMDB00242</t>
  </si>
  <si>
    <t>[M+H-NH3]+1</t>
  </si>
  <si>
    <t>C6 H16 N8 O4</t>
  </si>
  <si>
    <t>Secondary  Metabolites_Phenolics
_Minor Flavonoids_PMDB00555_Asebogenin</t>
  </si>
  <si>
    <t>Asebogenin</t>
  </si>
  <si>
    <t xml:space="preserve"> 
C09471</t>
  </si>
  <si>
    <t>PMDB00555</t>
  </si>
  <si>
    <t xml:space="preserve">Secondary  Metabolites_Alkaloids_Other Alkaloids_PMDB00460_L-Hyoscyamine
</t>
  </si>
  <si>
    <t xml:space="preserve">L-Hyoscyamine
</t>
  </si>
  <si>
    <t xml:space="preserve"> 
C02046</t>
  </si>
  <si>
    <t>PMDB00460</t>
  </si>
  <si>
    <t>C12 H31 N7 O</t>
  </si>
  <si>
    <t>Secondary  Metabolites_Phenolics
_Flavones
_PMDB00612_Dasytrichone</t>
  </si>
  <si>
    <t>Dasytrichone</t>
  </si>
  <si>
    <t xml:space="preserve"> 
C10035</t>
  </si>
  <si>
    <t>PMDB00612</t>
  </si>
  <si>
    <t>Secondary  Metabolites_Phenolics
_Quinones
_PMDB00813_ 
Cypripedin</t>
  </si>
  <si>
    <t xml:space="preserve"> 
Cypripedin</t>
  </si>
  <si>
    <t xml:space="preserve"> 
C10323</t>
  </si>
  <si>
    <t>PMDB00813</t>
  </si>
  <si>
    <t>C15 H25 O P S</t>
  </si>
  <si>
    <t>Secondary  Metabolites_Phenolics
_Isoflavonoids
_PMDB00908_Sayanedine</t>
  </si>
  <si>
    <t>Sayanedine</t>
  </si>
  <si>
    <t xml:space="preserve"> 
C10527</t>
  </si>
  <si>
    <t>PMDB00908</t>
  </si>
  <si>
    <t>C14 H30 N6 O</t>
  </si>
  <si>
    <t>Secondary  Metabolites_Phenolics
_Benzofurans
_PMDB00549_Usnic acid</t>
  </si>
  <si>
    <t>Usnic acid</t>
  </si>
  <si>
    <t xml:space="preserve"> 
C10101</t>
  </si>
  <si>
    <t>PMDB00549</t>
  </si>
  <si>
    <t>C16 H27 O2 P3</t>
  </si>
  <si>
    <t>Secondary  Metabolites_Alkaloids_Indole Alkaloids_PMDB00246_Quadrigemine A</t>
  </si>
  <si>
    <t>Quadrigemine A</t>
  </si>
  <si>
    <t>C09234</t>
  </si>
  <si>
    <t>PMDB00246</t>
  </si>
  <si>
    <t>Secondary  Metabolites_Phenolics
_Quinones
_PMDB00792_Alizarin</t>
  </si>
  <si>
    <t>Alizarin</t>
  </si>
  <si>
    <t xml:space="preserve"> 
C01474</t>
  </si>
  <si>
    <t>PMDB00792</t>
  </si>
  <si>
    <t>C9 H16 N6 O2</t>
  </si>
  <si>
    <t>Secondary  Metabolites_Alkaloids_Indole Alkaloids_ 
PMDB00153_Ajmaline</t>
  </si>
  <si>
    <t>Ajmaline</t>
  </si>
  <si>
    <t xml:space="preserve"> 
C06542</t>
  </si>
  <si>
    <t xml:space="preserve"> 
PMDB00153</t>
  </si>
  <si>
    <t>C11 H22 N10 O2</t>
  </si>
  <si>
    <t>Secondary  Metabolites_Alkaloids_Other Alkaloids_PMDB00483_ 
Alangiside</t>
  </si>
  <si>
    <t xml:space="preserve"> 
Alangiside</t>
  </si>
  <si>
    <t xml:space="preserve"> 
C09330</t>
  </si>
  <si>
    <t>PMDB00483</t>
  </si>
  <si>
    <t>C21 H32 N9 O2 P S</t>
  </si>
  <si>
    <t>Secondary  Metabolites_Phenolics
_Isoflavonoids
_PMDB00907_Sativan</t>
  </si>
  <si>
    <t>Sativan</t>
  </si>
  <si>
    <t xml:space="preserve"> 
C10526</t>
  </si>
  <si>
    <t>PMDB00907</t>
  </si>
  <si>
    <t>C13 H27 N4 O P</t>
  </si>
  <si>
    <t>Secondary  Metabolites_Phenolics
_Isoflavonoids
_PMDB00859_ 
Coumestrol</t>
  </si>
  <si>
    <t xml:space="preserve"> 
Coumestrol</t>
  </si>
  <si>
    <t xml:space="preserve"> 
C10205</t>
  </si>
  <si>
    <t>PMDB00859</t>
  </si>
  <si>
    <t>Secondary  Metabolites_Phenolics
_Quinones
_PMDB00803_Cassiamin C</t>
  </si>
  <si>
    <t>Cassiamin C</t>
  </si>
  <si>
    <t xml:space="preserve"> 
C10308</t>
  </si>
  <si>
    <t>PMDB00803</t>
  </si>
  <si>
    <t>C36 H42 O2</t>
  </si>
  <si>
    <t>Secondary  Metabolites_Alkaloids_Indole Alkaloids_PMDB00212
_Evodiamine</t>
  </si>
  <si>
    <t>Evodiamine</t>
  </si>
  <si>
    <t>C09187</t>
  </si>
  <si>
    <t xml:space="preserve">PMDB00212
</t>
  </si>
  <si>
    <t>Secondary  Metabolites_Phenolics
_Anthocyanins
_PMDB00512_Delphinidin</t>
  </si>
  <si>
    <t>Delphinidin</t>
  </si>
  <si>
    <t>C05908</t>
  </si>
  <si>
    <t>PMDB00512</t>
  </si>
  <si>
    <t>C10 H21 N7 O4</t>
  </si>
  <si>
    <t>Secondary  Metabolites_Alkaloids_Indole Alkaloids_ 
PMDB00256_ 
Strychnine</t>
  </si>
  <si>
    <t xml:space="preserve"> 
Strychnine</t>
  </si>
  <si>
    <t xml:space="preserve"> 
C06522</t>
  </si>
  <si>
    <t xml:space="preserve"> 
PMDB00256</t>
  </si>
  <si>
    <t>C17 H30 N6 O</t>
  </si>
  <si>
    <t>Secondary  Metabolites_Phenolics
_Benzofurans
_ 
PMDB00541_Moracin A</t>
  </si>
  <si>
    <t>Moracin A</t>
  </si>
  <si>
    <t>C08844</t>
  </si>
  <si>
    <t xml:space="preserve"> 
PMDB00541</t>
  </si>
  <si>
    <t>Secondary  Metabolites_Alkaloids_Quinazoline Alkaloids_ 
PMDB00359_ 
Glycosminine</t>
  </si>
  <si>
    <t xml:space="preserve"> 
Glycosminine</t>
  </si>
  <si>
    <t>C10688</t>
  </si>
  <si>
    <t xml:space="preserve"> 
PMDB00359</t>
  </si>
  <si>
    <t>C11 H20 N6</t>
  </si>
  <si>
    <t>Secondary  Metabolites_Phenolics
_Tannins
_PMDB00928_ 
Cinchonain 1a</t>
  </si>
  <si>
    <t xml:space="preserve"> 
Cinchonain 1a</t>
  </si>
  <si>
    <t xml:space="preserve"> 
C10217</t>
  </si>
  <si>
    <t>PMDB00928</t>
  </si>
  <si>
    <t>C16 H38 N8 O3 P2</t>
  </si>
  <si>
    <t>Secondary  Metabolites_Terpenoids_Carotenoids_PMDB00758_Fucoxanthin</t>
  </si>
  <si>
    <t>Fucoxanthin</t>
  </si>
  <si>
    <t xml:space="preserve"> 
C08596</t>
  </si>
  <si>
    <t>PMDB00758</t>
  </si>
  <si>
    <t>C42 H58 O6</t>
  </si>
  <si>
    <t>Secondary  Metabolites_Terpenoids_Steroid Saponins_PMDB00712_Smilagenin</t>
  </si>
  <si>
    <t>Smilagenin</t>
  </si>
  <si>
    <t xml:space="preserve"> 
C08913</t>
  </si>
  <si>
    <t>PMDB00712</t>
  </si>
  <si>
    <t>C24 H38 N2 P2</t>
  </si>
  <si>
    <t>Secondary  Metabolites_Phenolics
_Isoflavonoids
_PMDB00880_Licoisoflavone A</t>
  </si>
  <si>
    <t>Licoisoflavone A</t>
  </si>
  <si>
    <t xml:space="preserve"> 
C10486</t>
  </si>
  <si>
    <t>PMDB00880</t>
  </si>
  <si>
    <t>C15 H28 N6 P2</t>
  </si>
  <si>
    <t>Secondary  Metabolites_Phenolics
_Isoflavonoids
_PMDB00918_Vestitol</t>
  </si>
  <si>
    <t>Vestitol</t>
  </si>
  <si>
    <t xml:space="preserve"> 
C10540</t>
  </si>
  <si>
    <t>PMDB00918</t>
  </si>
  <si>
    <t>C13 H29 N4 P</t>
  </si>
  <si>
    <t>Secondary  Metabolites_Alkaloids_Other Alkaloids_PMDB00379_Aloperine</t>
  </si>
  <si>
    <t>Aloperine</t>
  </si>
  <si>
    <t xml:space="preserve"> 
C10748</t>
  </si>
  <si>
    <t>PMDB00379</t>
  </si>
  <si>
    <t>C7 H8 N2 O7</t>
  </si>
  <si>
    <t>Secondary  Metabolites_Phenolics
_Anthocyanins
_PMDB00519_Leptosidin</t>
  </si>
  <si>
    <t>Leptosidin</t>
  </si>
  <si>
    <t xml:space="preserve"> 
C08651</t>
  </si>
  <si>
    <t>PMDB00519</t>
  </si>
  <si>
    <t>Secondary  Metabolites_Phenolics
_Quinones
_PMDB00828_ 
Hypoxylone</t>
  </si>
  <si>
    <t xml:space="preserve"> 
Hypoxylone</t>
  </si>
  <si>
    <t xml:space="preserve"> 
C10355</t>
  </si>
  <si>
    <t>PMDB00828</t>
  </si>
  <si>
    <t>C12 H25 N6 O P S</t>
  </si>
  <si>
    <t>Secondary  Metabolites_Phenolics
_Quinones
_PMDB00799
_Aristolindiquinone</t>
  </si>
  <si>
    <t>Aristolindiquinone</t>
  </si>
  <si>
    <t>C10300</t>
  </si>
  <si>
    <t xml:space="preserve">PMDB00799
</t>
  </si>
  <si>
    <t>C14 H18 S</t>
  </si>
  <si>
    <t>Secondary  Metabolites_Phenolics
_Isoflavonoids
_PMDB00877_Irilone</t>
  </si>
  <si>
    <t>Irilone</t>
  </si>
  <si>
    <t xml:space="preserve"> 
C10467</t>
  </si>
  <si>
    <t>PMDB00877</t>
  </si>
  <si>
    <t>C15 H26 N2 S2</t>
  </si>
  <si>
    <t>Hormones_Gibberellins
_Gibberellins
_PMDB00966_Gibberellin A120</t>
  </si>
  <si>
    <t>Gibberellin A120</t>
  </si>
  <si>
    <t>PMDB00966</t>
  </si>
  <si>
    <t>C14 H30 N6 O2</t>
  </si>
  <si>
    <t>Secondary  Metabolites_Alkaloids_Indole Alkaloids_PMDB00244_Physovenine</t>
  </si>
  <si>
    <t>Physovenine</t>
  </si>
  <si>
    <t>C09232</t>
  </si>
  <si>
    <t>PMDB00244</t>
  </si>
  <si>
    <t>Secondary  Metabolites_Alkaloids_Diterpenoid Alkaloids
_PMDB00085_ 
Aconitine</t>
  </si>
  <si>
    <t xml:space="preserve"> 
Aconitine</t>
  </si>
  <si>
    <t>C06091</t>
  </si>
  <si>
    <t>PMDB00085</t>
  </si>
  <si>
    <t>Secondary  Metabolites_Phenolics
_Benzofurans
_PMDB00534_ 
alpha-Cotonefuran</t>
  </si>
  <si>
    <t xml:space="preserve"> 
alpha-Cotonefuran</t>
  </si>
  <si>
    <t xml:space="preserve"> 
C08739</t>
  </si>
  <si>
    <t>PMDB00534</t>
  </si>
  <si>
    <t>Hormones_Jasmonates_Jasmonates_PMDB01004_7-isojasmonate</t>
  </si>
  <si>
    <t>PMDB01004</t>
  </si>
  <si>
    <t>Secondary  Metabolites_Alkaloids_Indole Alkaloids_ 
PMDB00261_Thienodolin</t>
  </si>
  <si>
    <t>Thienodolin</t>
  </si>
  <si>
    <t>C09245</t>
  </si>
  <si>
    <t xml:space="preserve"> 
PMDB00261</t>
  </si>
  <si>
    <t>C12 H27 O3 P</t>
  </si>
  <si>
    <t>Secondary  Metabolites_Alkaloids_Other Alkaloids_ 
PMDB00307_ 
Boschniakine</t>
  </si>
  <si>
    <t xml:space="preserve"> 
Boschniakine</t>
  </si>
  <si>
    <t xml:space="preserve"> 
C09915</t>
  </si>
  <si>
    <t xml:space="preserve"> 
PMDB00307</t>
  </si>
  <si>
    <t>C5 H15 N5 O</t>
  </si>
  <si>
    <t>Secondary  Metabolites_Terpenoids_Monoterpenoids_PMDB00644_Carvacrol</t>
  </si>
  <si>
    <t>Carvacrol</t>
  </si>
  <si>
    <t xml:space="preserve"> 
C09840</t>
  </si>
  <si>
    <t>PMDB00644</t>
  </si>
  <si>
    <t>C8 H6 O S</t>
  </si>
  <si>
    <t>Secondary  Metabolites_Alkaloids_Other Alkaloids_PMDB00475_Actinodaphnine</t>
  </si>
  <si>
    <t>Actinodaphnine</t>
  </si>
  <si>
    <t xml:space="preserve"> 
C09322</t>
  </si>
  <si>
    <t>PMDB00475</t>
  </si>
  <si>
    <t>C14 H29 N7 O</t>
  </si>
  <si>
    <t>Secondary  Metabolites_Phenolics
_Isoflavonoids
_PMDB00888_Mucronulatol</t>
  </si>
  <si>
    <t>Mucronulatol</t>
  </si>
  <si>
    <t xml:space="preserve"> 
C10507</t>
  </si>
  <si>
    <t>PMDB00888</t>
  </si>
  <si>
    <t>C13 H23 Cl N4 S</t>
  </si>
  <si>
    <t>Secondary  Metabolites_Phenolics
_Isoflavonoids
_PMDB00889_Nissolin</t>
  </si>
  <si>
    <t>Nissolin</t>
  </si>
  <si>
    <t xml:space="preserve"> 
C10508</t>
  </si>
  <si>
    <t>PMDB00889</t>
  </si>
  <si>
    <t>C6 H19 N6 O5 P</t>
  </si>
  <si>
    <t>Secondary  Metabolites_Alkaloids_Diterpenoid Alkaloids
_PMDB00108_Delsoline</t>
  </si>
  <si>
    <t>Delsoline</t>
  </si>
  <si>
    <t xml:space="preserve"> 
C08678</t>
  </si>
  <si>
    <t>PMDB00108</t>
  </si>
  <si>
    <t>C16 H28 Cl N4 O4 P3</t>
  </si>
  <si>
    <t>Secondary  Metabolites_Phenolics
_Quinones
_PMDB00793_ 
Alkannin</t>
  </si>
  <si>
    <t xml:space="preserve"> 
Alkannin</t>
  </si>
  <si>
    <t xml:space="preserve"> 
C10292</t>
  </si>
  <si>
    <t>PMDB00793</t>
  </si>
  <si>
    <t>C12 H28 N6 O2</t>
  </si>
  <si>
    <t>Secondary  Metabolites_Phenolics
_Minor Flavonoids_PMDB00591_ 
Phlorizin</t>
  </si>
  <si>
    <t xml:space="preserve"> 
Phlorizin</t>
  </si>
  <si>
    <t xml:space="preserve"> 
C01604</t>
  </si>
  <si>
    <t>PMDB00591</t>
  </si>
  <si>
    <t>C15 H29 Cl2 O2 P3 S</t>
  </si>
  <si>
    <t>Secondary  Metabolites_Alkaloids_Other Alkaloids_ 
PMDB00399_ 
Retamine</t>
  </si>
  <si>
    <t xml:space="preserve"> 
Retamine</t>
  </si>
  <si>
    <t>C10780</t>
  </si>
  <si>
    <t xml:space="preserve"> 
PMDB00399</t>
  </si>
  <si>
    <t>C12 H27 O P S</t>
  </si>
  <si>
    <t>Secondary  Metabolites_Terpenoids_Diterpenoids_PMDB00636_ 
Jatrophone</t>
  </si>
  <si>
    <t xml:space="preserve"> 
Jatrophone</t>
  </si>
  <si>
    <t xml:space="preserve"> 
C09120</t>
  </si>
  <si>
    <t>PMDB00636</t>
  </si>
  <si>
    <t>C14 H28 N6 O2</t>
  </si>
  <si>
    <t>Secondary  Metabolites_Phenolics
_Isoflavonoids
_PMDB00868_Formononetin</t>
  </si>
  <si>
    <t>Formononetin</t>
  </si>
  <si>
    <t xml:space="preserve"> 
C00858</t>
  </si>
  <si>
    <t>PMDB00868</t>
  </si>
  <si>
    <t>Secondary  Metabolites_Alkaloids_Other Alkaloids_ 
PMDB00402_Sparteine</t>
  </si>
  <si>
    <t>Sparteine</t>
  </si>
  <si>
    <t xml:space="preserve"> 
C10783</t>
  </si>
  <si>
    <t xml:space="preserve"> 
PMDB00402</t>
  </si>
  <si>
    <t>Hormones_Gibberellins
_Gibberellins
_PMDB00998
_Gibberellin A8</t>
  </si>
  <si>
    <t>Gibberellin A8</t>
  </si>
  <si>
    <t xml:space="preserve"> 
C03579</t>
  </si>
  <si>
    <t xml:space="preserve">PMDB00998
</t>
  </si>
  <si>
    <t>C12 H28 N8 O S2</t>
  </si>
  <si>
    <t>Secondary  Metabolites_Alkaloids_Other Alkaloids_ 
PMDB00300_Phlegmarine</t>
  </si>
  <si>
    <t>Phlegmarine</t>
  </si>
  <si>
    <t xml:space="preserve"> 
C09892</t>
  </si>
  <si>
    <t xml:space="preserve"> 
PMDB00300</t>
  </si>
  <si>
    <t>C11 H18 N6 O</t>
  </si>
  <si>
    <t>Secondary  Metabolites_Terpenoids_Phytosterols_PMDB00724_Ecdysone</t>
  </si>
  <si>
    <t>Ecdysone</t>
  </si>
  <si>
    <t xml:space="preserve"> 
C00477</t>
  </si>
  <si>
    <t>PMDB00724</t>
  </si>
  <si>
    <t>C19 H43 N6 O P3</t>
  </si>
  <si>
    <t>Secondary  Metabolites_Terpenoids_Monoterpenoids_PMDB00652_Dipentene</t>
  </si>
  <si>
    <t>Dipentene</t>
  </si>
  <si>
    <t xml:space="preserve"> 
C06078</t>
  </si>
  <si>
    <t>PMDB00652</t>
  </si>
  <si>
    <t>Secondary  Metabolites_Phenolics
_Isoflavonoids
_PMDB00897_ 
Pisatin</t>
  </si>
  <si>
    <t xml:space="preserve"> 
Pisatin</t>
  </si>
  <si>
    <t xml:space="preserve"> 
C10516</t>
  </si>
  <si>
    <t>PMDB00897</t>
  </si>
  <si>
    <t>Secondary  Metabolites_Others_Others_PMDB00036_ 
Belladine</t>
  </si>
  <si>
    <t xml:space="preserve"> 
Belladine</t>
  </si>
  <si>
    <t xml:space="preserve"> 
C08518</t>
  </si>
  <si>
    <t>PMDB00036</t>
  </si>
  <si>
    <t>C6 H14 Cl N7 O6</t>
  </si>
  <si>
    <t>Secondary  Metabolites_Alkaloids_Indole Alkaloids_PMDB00211_Eseridine</t>
  </si>
  <si>
    <t>Eseridine</t>
  </si>
  <si>
    <t xml:space="preserve"> 
C09176</t>
  </si>
  <si>
    <t>PMDB00211</t>
  </si>
  <si>
    <t>C8 H17 N7 O5</t>
  </si>
  <si>
    <t>Hormones_Brassinosteroids_Brassinosteroids_PMDB00953_6-Deoxoteasterone</t>
  </si>
  <si>
    <t>6-Deoxoteasterone</t>
  </si>
  <si>
    <t xml:space="preserve"> 
C15799</t>
  </si>
  <si>
    <t>PMDB00953</t>
  </si>
  <si>
    <t>C20 H38 N2 O8</t>
  </si>
  <si>
    <t>Secondary  Metabolites_Terpenoids_Steroid Saponins_PMDB00691_Agavoside A</t>
  </si>
  <si>
    <t>Agavoside A</t>
  </si>
  <si>
    <t xml:space="preserve"> 
C08885</t>
  </si>
  <si>
    <t>PMDB00691</t>
  </si>
  <si>
    <t>C37 H55 P3</t>
  </si>
  <si>
    <t>Secondary  Metabolites_Alkaloids_Other Alkaloids_ 
PMDB00398_ 
Piptanthine</t>
  </si>
  <si>
    <t xml:space="preserve"> 
Piptanthine</t>
  </si>
  <si>
    <t xml:space="preserve"> 
C10779</t>
  </si>
  <si>
    <t xml:space="preserve"> 
PMDB00398</t>
  </si>
  <si>
    <t>Secondary  Metabolites_Alkaloids_Other Alkaloids_ 
PMDB00326_ 
Tecostanine</t>
  </si>
  <si>
    <t xml:space="preserve"> 
Tecostanine</t>
  </si>
  <si>
    <t xml:space="preserve"> 
C09989</t>
  </si>
  <si>
    <t xml:space="preserve"> 
PMDB00326</t>
  </si>
  <si>
    <t>C3 H9 N3 O6</t>
  </si>
  <si>
    <t>Hormones_Gibberellins
_Gibberellins
_PMDB01001_Gibberellin A98</t>
  </si>
  <si>
    <t>Gibberellin A98</t>
  </si>
  <si>
    <t>PMDB01001</t>
  </si>
  <si>
    <t>C12 H28 N8 O2 S2</t>
  </si>
  <si>
    <t>Secondary  Metabolites_Alkaloids_Other Alkaloids_PMDB00409_ 
Conessine</t>
  </si>
  <si>
    <t xml:space="preserve"> 
Conessine</t>
  </si>
  <si>
    <t xml:space="preserve"> 
C06545</t>
  </si>
  <si>
    <t>PMDB00409</t>
  </si>
  <si>
    <t>Secondary  Metabolites_Alkaloids_Indole Alkaloids_PMDB00227_Ibogaine</t>
  </si>
  <si>
    <t>Ibogaine</t>
  </si>
  <si>
    <t>C09214</t>
  </si>
  <si>
    <t>PMDB00227</t>
  </si>
  <si>
    <t>Secondary  Metabolites_Alkaloids_Indole Alkaloids_PMDB00218
_Gelsemicine</t>
  </si>
  <si>
    <t>Gelsemicine</t>
  </si>
  <si>
    <t xml:space="preserve">C09203
</t>
  </si>
  <si>
    <t xml:space="preserve">PMDB00218
</t>
  </si>
  <si>
    <t>C8 H11 N10 O5 P</t>
  </si>
  <si>
    <t xml:space="preserve">Secondary  Metabolites_Alkaloids_Diterpenoid Alkaloids
_PMDB00096_Cammaconine
</t>
  </si>
  <si>
    <t xml:space="preserve">Cammaconine
</t>
  </si>
  <si>
    <t xml:space="preserve"> 
C08666</t>
  </si>
  <si>
    <t>PMDB00096</t>
  </si>
  <si>
    <t>Secondary  Metabolites_Phenolics
_Minor Flavonoids_PMDB00576_ 
Hesperidin</t>
  </si>
  <si>
    <t xml:space="preserve"> 
Hesperidin</t>
  </si>
  <si>
    <t xml:space="preserve"> 
C09755</t>
  </si>
  <si>
    <t>PMDB00576</t>
  </si>
  <si>
    <t>C16 H31 N6 O17 P</t>
  </si>
  <si>
    <t>Secondary  Metabolites_Alkaloids_Indole Alkaloids_ 
PMDB00175_ 
Borreline</t>
  </si>
  <si>
    <t xml:space="preserve"> 
Borreline</t>
  </si>
  <si>
    <t xml:space="preserve"> 
C09052</t>
  </si>
  <si>
    <t xml:space="preserve"> 
PMDB00175</t>
  </si>
  <si>
    <t>C7 H15 N4 O5 P</t>
  </si>
  <si>
    <t>Secondary  Metabolites_Terpenoids_Monoterpenoids_PMDB00653_ 
Evodone</t>
  </si>
  <si>
    <t xml:space="preserve"> 
Evodone</t>
  </si>
  <si>
    <t xml:space="preserve"> 
C09858</t>
  </si>
  <si>
    <t>PMDB00653</t>
  </si>
  <si>
    <t>Secondary  Metabolites_Alkaloids_Other Alkaloids_PMDB00482_Alangimarine</t>
  </si>
  <si>
    <t>Alangimarine</t>
  </si>
  <si>
    <t xml:space="preserve"> 
C09329</t>
  </si>
  <si>
    <t>PMDB00482</t>
  </si>
  <si>
    <t>[2M+H]+1</t>
  </si>
  <si>
    <t>Secondary  Metabolites_Alkaloids_Betalain Alkaloids_ 
PMDB00066_Iresinin I</t>
  </si>
  <si>
    <t>Iresinin I</t>
  </si>
  <si>
    <t xml:space="preserve"> 
C08550</t>
  </si>
  <si>
    <t xml:space="preserve"> 
PMDB00066</t>
  </si>
  <si>
    <t>C44 H83 N6 O9 P</t>
  </si>
  <si>
    <t>Secondary  Metabolites_Alkaloids_Indole Alkaloids_PMDB00204_Ergocornine</t>
  </si>
  <si>
    <t>Ergocornine</t>
  </si>
  <si>
    <t xml:space="preserve"> 
C09162</t>
  </si>
  <si>
    <t>PMDB00204</t>
  </si>
  <si>
    <t>C30 H52 N5 O3 P</t>
  </si>
  <si>
    <t>Secondary  Metabolites_Phenolics
_Anthocyanins
_PMDB00530_Rosinidin</t>
  </si>
  <si>
    <t>Rosinidin</t>
  </si>
  <si>
    <t xml:space="preserve"> 
C08729</t>
  </si>
  <si>
    <t>PMDB00530</t>
  </si>
  <si>
    <t>C8 H22 N5 O6 P</t>
  </si>
  <si>
    <t>Hormones_Gibberellins
_Gibberellins
_PMDB00971_ 
Gibberellin A14 aldehyde</t>
  </si>
  <si>
    <t xml:space="preserve"> 
Gibberellin A14 aldehyde</t>
  </si>
  <si>
    <t xml:space="preserve"> 
C11853</t>
  </si>
  <si>
    <t>PMDB00971</t>
  </si>
  <si>
    <t>C17 H33 O2 P S</t>
  </si>
  <si>
    <t>Secondary  Metabolites_Terpenoids_Steroid Saponins_PMDB00706_Hecogenin</t>
  </si>
  <si>
    <t>Hecogenin</t>
  </si>
  <si>
    <t xml:space="preserve"> 
C08902</t>
  </si>
  <si>
    <t>PMDB00706</t>
  </si>
  <si>
    <t>C13 H33 N6 O2 P3 S</t>
  </si>
  <si>
    <t>Secondary  Metabolites_Alkaloids_Indole Alkaloids_PMDB00259_Tabernanthine</t>
  </si>
  <si>
    <t>Tabernanthine</t>
  </si>
  <si>
    <t>C09274</t>
  </si>
  <si>
    <t>PMDB00259</t>
  </si>
  <si>
    <t>Secondary  Metabolites_Alkaloids_Diterpenoid Alkaloids
_PMDB00089_Anthranoyllycoctonine</t>
  </si>
  <si>
    <t>Anthranoyllycoctonine</t>
  </si>
  <si>
    <t xml:space="preserve"> 
C08659</t>
  </si>
  <si>
    <t>PMDB00089</t>
  </si>
  <si>
    <t>C38 H50 O5</t>
  </si>
  <si>
    <t>Secondary  Metabolites_Alkaloids_Other Alkaloids_PMDB00498_Atherospermoline</t>
  </si>
  <si>
    <t>Atherospermoline</t>
  </si>
  <si>
    <t xml:space="preserve"> 
C11141</t>
  </si>
  <si>
    <t>PMDB00498</t>
  </si>
  <si>
    <t>C35 H46 O8</t>
  </si>
  <si>
    <t>Secondary  Metabolites_Phenolics
_Isoflavonoids
_PMDB00869_Genistein</t>
  </si>
  <si>
    <t>Genistein</t>
  </si>
  <si>
    <t>C06563</t>
  </si>
  <si>
    <t>PMDB00869</t>
  </si>
  <si>
    <t>C18 H22 S</t>
  </si>
  <si>
    <t xml:space="preserve">Secondary  Metabolites_Terpenoids_Phytosterols_PMDB00738_Schottenol
</t>
  </si>
  <si>
    <t xml:space="preserve">Schottenol
</t>
  </si>
  <si>
    <t xml:space="preserve"> 
C08839</t>
  </si>
  <si>
    <t>PMDB00738</t>
  </si>
  <si>
    <t>C23 H43 O2 P S</t>
  </si>
  <si>
    <t>Secondary  Metabolites_Alkaloids_Indole Alkaloids_PMDB00162_Apovincamine</t>
  </si>
  <si>
    <t>Apovincamine</t>
  </si>
  <si>
    <t xml:space="preserve"> 
C09035</t>
  </si>
  <si>
    <t>PMDB00162</t>
  </si>
  <si>
    <t>C15 H32 N2 O6</t>
  </si>
  <si>
    <t>Secondary  Metabolites_Alkaloids_Acridone Alkaloids_ 
PMDB00376_Rutacridone</t>
  </si>
  <si>
    <t>Rutacridone</t>
  </si>
  <si>
    <t>C10738</t>
  </si>
  <si>
    <t xml:space="preserve"> 
PMDB00376</t>
  </si>
  <si>
    <t>C5 H7 Cl O9 P2</t>
  </si>
  <si>
    <t>Secondary  Metabolites_Alkaloids_Other Alkaloids_ 
PMDB00397_Panamine</t>
  </si>
  <si>
    <t>Panamine</t>
  </si>
  <si>
    <t>C10778</t>
  </si>
  <si>
    <t xml:space="preserve"> 
PMDB00397</t>
  </si>
  <si>
    <t>C14 H33 N7 O</t>
  </si>
  <si>
    <t>Secondary  Metabolites_Terpenoids_Triterpenoid Saponins_PMDB00682_Musennin</t>
  </si>
  <si>
    <t>Musennin</t>
  </si>
  <si>
    <t xml:space="preserve"> 
C08960</t>
  </si>
  <si>
    <t>PMDB00682</t>
  </si>
  <si>
    <t>Secondary  Metabolites_Alkaloids_Betalain Alkaloids_ 
PMDB00073_Musca-aurin-I</t>
  </si>
  <si>
    <t>Musca-aurin-I</t>
  </si>
  <si>
    <t xml:space="preserve"> 
C08559</t>
  </si>
  <si>
    <t xml:space="preserve"> 
PMDB00073</t>
  </si>
  <si>
    <t>C18 H26 N O2 P S</t>
  </si>
  <si>
    <t>Secondary  Metabolites_Phenolics
_Quinones
_PMDB00795_ 
Alteichin</t>
  </si>
  <si>
    <t xml:space="preserve"> 
Alteichin</t>
  </si>
  <si>
    <t xml:space="preserve"> 
C10295</t>
  </si>
  <si>
    <t>PMDB00795</t>
  </si>
  <si>
    <t>Secondary  Metabolites_Alkaloids_Indole Alkaloids_PMDB00198_Eburnamonine</t>
  </si>
  <si>
    <t>Eburnamonine</t>
  </si>
  <si>
    <t xml:space="preserve"> 
C09149</t>
  </si>
  <si>
    <t>PMDB00198</t>
  </si>
  <si>
    <t>C14 H26 N6 O</t>
  </si>
  <si>
    <t>Secondary  Metabolites_Phenolics
_Minor Flavonoids_PMDB00553_ 
Afzelechin</t>
  </si>
  <si>
    <t xml:space="preserve"> 
Afzelechin</t>
  </si>
  <si>
    <t xml:space="preserve"> 
C09320</t>
  </si>
  <si>
    <t>PMDB00553</t>
  </si>
  <si>
    <t>C14 H26 O5</t>
  </si>
  <si>
    <t xml:space="preserve">Hormones_Gibberellins
_Gibberellins
_PMDB00978
_Gibberellin A24
</t>
  </si>
  <si>
    <t xml:space="preserve">Gibberellin A24
</t>
  </si>
  <si>
    <t>C11861</t>
  </si>
  <si>
    <t xml:space="preserve">PMDB00978
</t>
  </si>
  <si>
    <t>C9 H29 N6 O2 P3</t>
  </si>
  <si>
    <t>Secondary  Metabolites_Alkaloids_Indole Alkaloids_PMDB00164_ 
Aricine</t>
  </si>
  <si>
    <t xml:space="preserve"> 
Aricine</t>
  </si>
  <si>
    <t>C09037</t>
  </si>
  <si>
    <t>PMDB00164</t>
  </si>
  <si>
    <t>Secondary  Metabolites_Terpenoids_Diterpenoids_PMDB00634_Isodonal</t>
  </si>
  <si>
    <t>Isodonal</t>
  </si>
  <si>
    <t xml:space="preserve"> 
C09117</t>
  </si>
  <si>
    <t>PMDB00634</t>
  </si>
  <si>
    <t>C24 H32 N6</t>
  </si>
  <si>
    <t>Secondary  Metabolites_Alkaloids_Betalain Alkaloids_PMDB00068_Lampranthin II</t>
  </si>
  <si>
    <t>Lampranthin II</t>
  </si>
  <si>
    <t>C08552</t>
  </si>
  <si>
    <t>PMDB00068</t>
  </si>
  <si>
    <t>Secondary  Metabolites_Others_Others_PMDB00016_ 
octacosanol</t>
  </si>
  <si>
    <t xml:space="preserve"> 
octacosanol</t>
  </si>
  <si>
    <t xml:space="preserve"> 
C08387</t>
  </si>
  <si>
    <t>PMDB00016</t>
  </si>
  <si>
    <t>Hormones_Gibberellins
_Gibberellins
_PMDB00979_GA 25</t>
  </si>
  <si>
    <t>GA 25</t>
  </si>
  <si>
    <t>PMDB00979</t>
  </si>
  <si>
    <t>C18 H34 O7</t>
  </si>
  <si>
    <t>Secondary  Metabolites_Terpenoids_Carotenoids_PMDB00764_Mutatochrome</t>
  </si>
  <si>
    <t>Mutatochrome</t>
  </si>
  <si>
    <t xml:space="preserve"> 
C08605</t>
  </si>
  <si>
    <t>PMDB00764</t>
  </si>
  <si>
    <t>C29 H48 N2 O6 S</t>
  </si>
  <si>
    <t>Secondary  Metabolites_Terpenoids_Other Terpenoids_PMDB00779_Dipterocarpol</t>
  </si>
  <si>
    <t>Dipterocarpol</t>
  </si>
  <si>
    <t xml:space="preserve"> 
C08622</t>
  </si>
  <si>
    <t>PMDB00779</t>
  </si>
  <si>
    <t>C15 H19 N6 O6 P S</t>
  </si>
  <si>
    <t>Secondary  Metabolites_Phenolics
_Quinones
_PMDB00817
_Droserone</t>
  </si>
  <si>
    <t>Droserone</t>
  </si>
  <si>
    <t>C10335</t>
  </si>
  <si>
    <t xml:space="preserve">PMDB00817
</t>
  </si>
  <si>
    <t>Secondary  Metabolites_Terpenoids_Carotenoids_PMDB00753_Crocetin</t>
  </si>
  <si>
    <t>Crocetin</t>
  </si>
  <si>
    <t xml:space="preserve"> 
C08588</t>
  </si>
  <si>
    <t>PMDB00753</t>
  </si>
  <si>
    <t>C16 H33 N4 O P</t>
  </si>
  <si>
    <t>Secondary  Metabolites_Terpenoids_Steroid Saponins_PMDB00698_ 
Deltoside</t>
  </si>
  <si>
    <t xml:space="preserve"> 
Deltoside</t>
  </si>
  <si>
    <t xml:space="preserve"> 
C08895</t>
  </si>
  <si>
    <t>PMDB00698</t>
  </si>
  <si>
    <t>C50 H97 N7 O13 P2</t>
  </si>
  <si>
    <t>Secondary  Metabolites_Alkaloids_Betalain Alkaloids_ 
PMDB00075_ 
Musca-aurin VII</t>
  </si>
  <si>
    <t xml:space="preserve"> 
Musca-aurin VII</t>
  </si>
  <si>
    <t xml:space="preserve"> 
C08562</t>
  </si>
  <si>
    <t xml:space="preserve"> 
PMDB00075</t>
  </si>
  <si>
    <t>[M-H+HAc]-1</t>
  </si>
  <si>
    <t>C21 H29 Cl S</t>
  </si>
  <si>
    <t>Secondary  Metabolites_Terpenoids_Carotenoids_PMDB00770_Rubixanthin</t>
  </si>
  <si>
    <t>Rubixanthin</t>
  </si>
  <si>
    <t xml:space="preserve"> 
C08611</t>
  </si>
  <si>
    <t>PMDB00770</t>
  </si>
  <si>
    <t>C28 H46 N O4 P3</t>
  </si>
  <si>
    <t>Secondary  Metabolites_Alkaloids_Other Alkaloids_ 
PMDB00277_Annofoline</t>
  </si>
  <si>
    <t>Annofoline</t>
  </si>
  <si>
    <t xml:space="preserve"> 
C09851</t>
  </si>
  <si>
    <t xml:space="preserve"> 
PMDB00277</t>
  </si>
  <si>
    <t>[M-H+TFA]-1</t>
  </si>
  <si>
    <t>Secondary  Metabolites_Alkaloids_Other Alkaloids_PMDB00420_Kurchessine</t>
  </si>
  <si>
    <t>Kurchessine</t>
  </si>
  <si>
    <t xml:space="preserve"> 
C10813</t>
  </si>
  <si>
    <t>PMDB00420</t>
  </si>
  <si>
    <t>C9 H17 Cl N6 O8</t>
  </si>
  <si>
    <t>Secondary  Metabolites_Phenolics
_Isoflavonoids
_PMDB00864_Dalbergin</t>
  </si>
  <si>
    <t>Dalbergin</t>
  </si>
  <si>
    <t xml:space="preserve"> 
C10414</t>
  </si>
  <si>
    <t>PMDB00864</t>
  </si>
  <si>
    <t>Secondary  Metabolites_Phenolics
_Flavones
_PMDB00603_ 
Amentoflavone</t>
  </si>
  <si>
    <t xml:space="preserve"> 
Amentoflavone</t>
  </si>
  <si>
    <t xml:space="preserve"> 
C10018</t>
  </si>
  <si>
    <t>PMDB00603</t>
  </si>
  <si>
    <t>C26 H50 O11</t>
  </si>
  <si>
    <t>Secondary  Metabolites_Phenolics
_Minor Flavonoids_PMDB00570_ 
Fisetinidol</t>
  </si>
  <si>
    <t xml:space="preserve"> 
Fisetinidol</t>
  </si>
  <si>
    <t>C09735</t>
  </si>
  <si>
    <t>PMDB00570</t>
  </si>
  <si>
    <t>C13 H22 O6</t>
  </si>
  <si>
    <t>Secondary  Metabolites_Alkaloids_Other Alkaloids_PMDB00491_Annolobine</t>
  </si>
  <si>
    <t>Annolobine</t>
  </si>
  <si>
    <t xml:space="preserve"> 
C09338</t>
  </si>
  <si>
    <t>PMDB00491</t>
  </si>
  <si>
    <t>C6 H12 Cl N7 O4</t>
  </si>
  <si>
    <t>Secondary  Metabolites_Phenolics
_Isoflavonoids
_PMDB00903_Psoralidin</t>
  </si>
  <si>
    <t>Psoralidin</t>
  </si>
  <si>
    <t xml:space="preserve"> 
C10523</t>
  </si>
  <si>
    <t>PMDB00903</t>
  </si>
  <si>
    <t>C25 H20 O</t>
  </si>
  <si>
    <t>Secondary  Metabolites_Phenolics
_Quinones
_PMDB00831
_ 
Knipholone</t>
  </si>
  <si>
    <t xml:space="preserve"> 
Knipholone</t>
  </si>
  <si>
    <t xml:space="preserve"> 
C10365</t>
  </si>
  <si>
    <t xml:space="preserve">PMDB00831
</t>
  </si>
  <si>
    <t>C21 H39 O7 P</t>
  </si>
  <si>
    <t>Secondary  Metabolites_Phenolics
_Isoflavonoids
_PMDB00919_Vestitone</t>
  </si>
  <si>
    <t>Vestitone</t>
  </si>
  <si>
    <t xml:space="preserve"> 
C00786</t>
  </si>
  <si>
    <t>PMDB00919</t>
  </si>
  <si>
    <t>Secondary  Metabolites_Alkaloids_Indole Alkaloids_ 
PMDB00161_ 
Apodine</t>
  </si>
  <si>
    <t xml:space="preserve"> 
Apodine</t>
  </si>
  <si>
    <t xml:space="preserve"> 
C09034</t>
  </si>
  <si>
    <t xml:space="preserve"> 
PMDB00161</t>
  </si>
  <si>
    <t>C17 H30 N6 O3</t>
  </si>
  <si>
    <t>Secondary  Metabolites_Alkaloids_Acridone Alkaloids_PMDB00368_ 
Atalaphylline</t>
  </si>
  <si>
    <t xml:space="preserve"> 
Atalaphylline</t>
  </si>
  <si>
    <t>C10645</t>
  </si>
  <si>
    <t>PMDB00368</t>
  </si>
  <si>
    <t>C6 H18 N7 O10 P</t>
  </si>
  <si>
    <t>Secondary  Metabolites_Terpenoids_Steroid Saponins_PMDB00715_Tokoronin</t>
  </si>
  <si>
    <t>Tokoronin</t>
  </si>
  <si>
    <t xml:space="preserve"> 
C08916</t>
  </si>
  <si>
    <t>PMDB00715</t>
  </si>
  <si>
    <t>Secondary  Metabolites_Alkaloids_Other Alkaloids_PMDB00500_Bebeerine</t>
  </si>
  <si>
    <t>Bebeerine</t>
  </si>
  <si>
    <t xml:space="preserve"> 
C09352</t>
  </si>
  <si>
    <t>PMDB00500</t>
  </si>
  <si>
    <t>Secondary  Metabolites_Alkaloids_Indole Alkaloids_PMDB00189_Catharine</t>
  </si>
  <si>
    <t>Catharine</t>
  </si>
  <si>
    <t xml:space="preserve"> 
C09129</t>
  </si>
  <si>
    <t>PMDB00189</t>
  </si>
  <si>
    <t>C30 H66 N10 O16</t>
  </si>
  <si>
    <t>Secondary  Metabolites_Alkaloids_Other Alkaloids_PMDB00298_beta-Obscurine</t>
  </si>
  <si>
    <t>beta-Obscurine</t>
  </si>
  <si>
    <t xml:space="preserve"> 
C09890</t>
  </si>
  <si>
    <t>PMDB00298</t>
  </si>
  <si>
    <t>Secondary  Metabolites_Alkaloids_Indole Alkaloids_PMDB00250_Rhyncophylline</t>
  </si>
  <si>
    <t>Rhyncophylline</t>
  </si>
  <si>
    <t>C09236</t>
  </si>
  <si>
    <t>PMDB00250</t>
  </si>
  <si>
    <t>C11 H33 N10 O3 P</t>
  </si>
  <si>
    <t>Secondary  Metabolites_Phenolics
_Isoflavonoids
_PMDB00866_Dalpanin</t>
  </si>
  <si>
    <t>Dalpanin</t>
  </si>
  <si>
    <t xml:space="preserve"> 
C10416</t>
  </si>
  <si>
    <t>PMDB00866</t>
  </si>
  <si>
    <t>C26 H23 N4 O7 P</t>
  </si>
  <si>
    <t>Hormones_Gibberellins
_Gibberellins
_PMDB01002_ 
Gibberellin A9</t>
  </si>
  <si>
    <t xml:space="preserve"> 
Gibberellin A9</t>
  </si>
  <si>
    <t xml:space="preserve"> 
C11863</t>
  </si>
  <si>
    <t>PMDB01002</t>
  </si>
  <si>
    <t>C16 H24 N6 O</t>
  </si>
  <si>
    <t>Secondary  Metabolites_Terpenoids_Triterpenoid Saponins_PMDB00674_Dianoside A</t>
  </si>
  <si>
    <t>Dianoside A</t>
  </si>
  <si>
    <t xml:space="preserve"> 
C08941</t>
  </si>
  <si>
    <t>PMDB00674</t>
  </si>
  <si>
    <t>C52 H74 O7</t>
  </si>
  <si>
    <t>Secondary  Metabolites_Alkaloids_Other Alkaloids_PMDB00414_Demissine</t>
  </si>
  <si>
    <t>Demissine</t>
  </si>
  <si>
    <t xml:space="preserve"> 
C10803</t>
  </si>
  <si>
    <t>PMDB00414</t>
  </si>
  <si>
    <t>Secondary  Metabolites_Others_Others_PMDB00007_ 
Terephthalic acid</t>
  </si>
  <si>
    <t xml:space="preserve"> 
Terephthalic acid</t>
  </si>
  <si>
    <t xml:space="preserve"> 
C06337</t>
  </si>
  <si>
    <t>PMDB00007</t>
  </si>
  <si>
    <t>Hormones_Gibberellins
_Gibberellins
_PMDB00992_ 
GA46</t>
  </si>
  <si>
    <t xml:space="preserve"> 
GA46</t>
  </si>
  <si>
    <t>PMDB00992</t>
  </si>
  <si>
    <t>C20 H45 P3</t>
  </si>
  <si>
    <t>Secondary  Metabolites_Alkaloids_Diterpenoid Alkaloids
_PMDB00125_Lindheimerine</t>
  </si>
  <si>
    <t>Lindheimerine</t>
  </si>
  <si>
    <t xml:space="preserve"> 
C08695</t>
  </si>
  <si>
    <t>PMDB00125</t>
  </si>
  <si>
    <t>C7 H16 N7 O7 P</t>
  </si>
  <si>
    <t>Secondary  Metabolites_Alkaloids_Indole Alkaloids_PMDB00187_Carapanaubine</t>
  </si>
  <si>
    <t>Carapanaubine</t>
  </si>
  <si>
    <t>C09106</t>
  </si>
  <si>
    <t>PMDB00187</t>
  </si>
  <si>
    <t>C27 H40 O2 S</t>
  </si>
  <si>
    <t>Secondary  Metabolites_Terpenoids_Monoterpenoids_PMDB00645_Carvone oxide</t>
  </si>
  <si>
    <t>Carvone oxide</t>
  </si>
  <si>
    <t xml:space="preserve"> 
C09841</t>
  </si>
  <si>
    <t>PMDB00645</t>
  </si>
  <si>
    <t>Secondary  Metabolites_Phenolics
_Isoflavonoids
_PMDB00887_Millettone</t>
  </si>
  <si>
    <t>Millettone</t>
  </si>
  <si>
    <t xml:space="preserve"> 
C10506</t>
  </si>
  <si>
    <t>PMDB00887</t>
  </si>
  <si>
    <t>C22 H19 Cl N2 S</t>
  </si>
  <si>
    <t>Secondary  Metabolites_Phenolics
_Isoflavonoids
_PMDB00905_Rotenone</t>
  </si>
  <si>
    <t>Rotenone</t>
  </si>
  <si>
    <t xml:space="preserve"> 
C07593</t>
  </si>
  <si>
    <t>PMDB00905</t>
  </si>
  <si>
    <t>Secondary  Metabolites_Terpenoids_Phytosterols_PMDB00717_Ajugalactone</t>
  </si>
  <si>
    <t>Ajugalactone</t>
  </si>
  <si>
    <t xml:space="preserve"> 
C08810</t>
  </si>
  <si>
    <t>PMDB00717</t>
  </si>
  <si>
    <t>C32 H52 O5</t>
  </si>
  <si>
    <t>Hormones_Gibberellins
_Gibberellins
_PMDB00965_ 
Gibberellin A110</t>
  </si>
  <si>
    <t xml:space="preserve"> 
Gibberellin A110</t>
  </si>
  <si>
    <t>PMDB00965</t>
  </si>
  <si>
    <t xml:space="preserve">Secondary  Metabolites_Phenolics
_Quinones
_PMDB00794_Aloe-emodin
</t>
  </si>
  <si>
    <t xml:space="preserve">Aloe-emodin
</t>
  </si>
  <si>
    <t xml:space="preserve"> 
C10294</t>
  </si>
  <si>
    <t>PMDB00794</t>
  </si>
  <si>
    <t>C7 H21 N4 O P3</t>
  </si>
  <si>
    <t>Secondary  Metabolites_Phenolics
_Anthocyanins
_PMDB00517_Isobutrin</t>
  </si>
  <si>
    <t>Isobutrin</t>
  </si>
  <si>
    <t xml:space="preserve"> 
C08649</t>
  </si>
  <si>
    <t>PMDB00517</t>
  </si>
  <si>
    <t>C32 H48 N6 O3 S</t>
  </si>
  <si>
    <t>Secondary  Metabolites_Alkaloids_Other Alkaloids_PMDB00415_Funtumine</t>
  </si>
  <si>
    <t>Funtumine</t>
  </si>
  <si>
    <t xml:space="preserve"> 
C10806</t>
  </si>
  <si>
    <t>PMDB00415</t>
  </si>
  <si>
    <t>Hormones_Gibberellins
_Gibberellins
_PMDB00995_Gibberellin A51-catabolite</t>
  </si>
  <si>
    <t>Gibberellin A51-catabolite</t>
  </si>
  <si>
    <t xml:space="preserve"> 
C11854</t>
  </si>
  <si>
    <t>PMDB00995</t>
  </si>
  <si>
    <t>C17 H33 P3</t>
  </si>
  <si>
    <t>Secondary  Metabolites_Phenolics
_Flavones
_PMDB00613_Diosmetin</t>
  </si>
  <si>
    <t>Diosmetin</t>
  </si>
  <si>
    <t xml:space="preserve"> 
C10038</t>
  </si>
  <si>
    <t>PMDB00613</t>
  </si>
  <si>
    <t>C20 H28 S</t>
  </si>
  <si>
    <t>Secondary  Metabolites_Alkaloids_Indole Alkaloids_ 
PMDB00170_ 
Auricularine</t>
  </si>
  <si>
    <t xml:space="preserve"> 
Auricularine</t>
  </si>
  <si>
    <t xml:space="preserve"> 
C09043</t>
  </si>
  <si>
    <t xml:space="preserve"> 
PMDB00170</t>
  </si>
  <si>
    <t>C24 H47 O6 P S</t>
  </si>
  <si>
    <t>Secondary  Metabolites_Alkaloids_Other Alkaloids_PMDB00462_Littorine</t>
  </si>
  <si>
    <t>Littorine</t>
  </si>
  <si>
    <t xml:space="preserve"> 
C10860</t>
  </si>
  <si>
    <t>PMDB00462</t>
  </si>
  <si>
    <t>C16 H19 N O2 S</t>
  </si>
  <si>
    <t>Secondary  Metabolites_Alkaloids_Indole Alkaloids_PMDB00213_Fruticosonine</t>
  </si>
  <si>
    <t>Fruticosonine</t>
  </si>
  <si>
    <t xml:space="preserve"> 
C09191</t>
  </si>
  <si>
    <t>PMDB00213</t>
  </si>
  <si>
    <t>C18 H32 O4</t>
  </si>
  <si>
    <t>Secondary  Metabolites_Alkaloids_Other Alkaloids_ 
PMDB00305_Arenaine</t>
  </si>
  <si>
    <t>Arenaine</t>
  </si>
  <si>
    <t xml:space="preserve"> 
C09912</t>
  </si>
  <si>
    <t xml:space="preserve"> 
PMDB00305</t>
  </si>
  <si>
    <t>Secondary  Metabolites_Terpenoids_Carotenoids_PMDB00771_Torulene</t>
  </si>
  <si>
    <t>Torulene</t>
  </si>
  <si>
    <t xml:space="preserve"> 
C08613</t>
  </si>
  <si>
    <t>PMDB00771</t>
  </si>
  <si>
    <t>C26 H46 O11</t>
  </si>
  <si>
    <t>Secondary  Metabolites_Alkaloids_Other Alkaloids_PMDB00431
_ 
Solasonine</t>
  </si>
  <si>
    <t xml:space="preserve"> 
Solasonine</t>
  </si>
  <si>
    <t xml:space="preserve"> 
C10824</t>
  </si>
  <si>
    <t xml:space="preserve">PMDB00431
</t>
  </si>
  <si>
    <t>C46 H87 N4 O6 P3</t>
  </si>
  <si>
    <t>Secondary  Metabolites_Alkaloids_Diterpenoid Alkaloids
_PMDB00135_ 
Ryanodine</t>
  </si>
  <si>
    <t xml:space="preserve"> 
Ryanodine</t>
  </si>
  <si>
    <t>C08705</t>
  </si>
  <si>
    <t>PMDB00135</t>
  </si>
  <si>
    <t>Secondary  Metabolites_Others_Others_PMDB00001_Acetylcaranine</t>
  </si>
  <si>
    <t>Acetylcaranine</t>
  </si>
  <si>
    <t xml:space="preserve"> 
C08513</t>
  </si>
  <si>
    <t>PMDB00001</t>
  </si>
  <si>
    <t>Secondary  Metabolites_Others_Others_PMDB00027_Fisetin</t>
  </si>
  <si>
    <t>Fisetin</t>
  </si>
  <si>
    <t xml:space="preserve"> 
C10041</t>
  </si>
  <si>
    <t>PMDB00027</t>
  </si>
  <si>
    <t>C7 H19 N4 O6 P</t>
  </si>
  <si>
    <t>Secondary  Metabolites_Alkaloids_Betalain Alkaloids_ 
PMDB00082_  Vulgaxanthin-II</t>
  </si>
  <si>
    <t xml:space="preserve">  Vulgaxanthin-II</t>
  </si>
  <si>
    <t>C08569</t>
  </si>
  <si>
    <t xml:space="preserve"> 
PMDB00082</t>
  </si>
  <si>
    <t>C12 H25 N10 P</t>
  </si>
  <si>
    <t>Secondary  Metabolites_Phenolics
_Minor Flavonoids_PMDB00568_Eriodictyol</t>
  </si>
  <si>
    <t>Eriodictyol</t>
  </si>
  <si>
    <t xml:space="preserve"> 
C05631</t>
  </si>
  <si>
    <t>PMDB00568</t>
  </si>
  <si>
    <t>C16 H13 Cl O S</t>
  </si>
  <si>
    <t>Secondary  Metabolites_Alkaloids_Other Alkaloids_ 
PMDB00404_ 
Thermospine</t>
  </si>
  <si>
    <t xml:space="preserve"> 
Thermospine</t>
  </si>
  <si>
    <t xml:space="preserve"> 
C10789</t>
  </si>
  <si>
    <t xml:space="preserve"> 
PMDB00404</t>
  </si>
  <si>
    <t>Secondary  Metabolites_Phenolics
_Isoflavonoids
_PMDB00851_Acanthocarpan</t>
  </si>
  <si>
    <t>Acanthocarpan</t>
  </si>
  <si>
    <t xml:space="preserve"> 
C10198</t>
  </si>
  <si>
    <t>PMDB00851</t>
  </si>
  <si>
    <t>C18 H28 N6</t>
  </si>
  <si>
    <t>Secondary  Metabolites_Alkaloids_Indole Alkaloids_PMDB00231_Mahanimbine</t>
  </si>
  <si>
    <t>Mahanimbine</t>
  </si>
  <si>
    <t xml:space="preserve"> 
C09220</t>
  </si>
  <si>
    <t>PMDB00231</t>
  </si>
  <si>
    <t>C15 H33 N5 O S</t>
  </si>
  <si>
    <t>Secondary  Metabolites_Phenolics
_Minor Flavonoids_PMDB00557_ 
Betagarin</t>
  </si>
  <si>
    <t xml:space="preserve"> 
Betagarin</t>
  </si>
  <si>
    <t xml:space="preserve"> 
C09479</t>
  </si>
  <si>
    <t>PMDB00557</t>
  </si>
  <si>
    <t xml:space="preserve">Secondary  Metabolites_Alkaloids_Indole Alkaloids_PMDB00180_Cabucine
</t>
  </si>
  <si>
    <t xml:space="preserve">Cabucine
</t>
  </si>
  <si>
    <t>C10904</t>
  </si>
  <si>
    <t>PMDB00180</t>
  </si>
  <si>
    <t>Secondary  Metabolites_Alkaloids_Other Alkaloids_ 
PMDB00322_ 
Jasminine</t>
  </si>
  <si>
    <t xml:space="preserve"> 
Jasminine</t>
  </si>
  <si>
    <t xml:space="preserve"> 
C09985</t>
  </si>
  <si>
    <t xml:space="preserve"> 
PMDB00322</t>
  </si>
  <si>
    <t>C9 H25 N4 P</t>
  </si>
  <si>
    <t>Secondary  Metabolites_Alkaloids_Other Alkaloids_PMDB00452_Cocaine</t>
  </si>
  <si>
    <t>Cocaine</t>
  </si>
  <si>
    <t xml:space="preserve"> 
C01416</t>
  </si>
  <si>
    <t>PMDB00452</t>
  </si>
  <si>
    <t>Secondary  Metabolites_Alkaloids_Diterpenoid Alkaloids
_PMDB00090_atisine</t>
  </si>
  <si>
    <t>atisine</t>
  </si>
  <si>
    <t xml:space="preserve"> 
C08660</t>
  </si>
  <si>
    <t>PMDB00090</t>
  </si>
  <si>
    <t>Secondary  Metabolites_Terpenoids_Diterpenoids_PMDB00640_ 
Montanol</t>
  </si>
  <si>
    <t xml:space="preserve"> 
Montanol</t>
  </si>
  <si>
    <t xml:space="preserve"> 
C09137</t>
  </si>
  <si>
    <t>PMDB00640</t>
  </si>
  <si>
    <t>C5 H17 N6 O10 P</t>
  </si>
  <si>
    <t>Secondary  Metabolites_Phenolics
_Isoflavonoids
_PMDB00895_Phaseollidin</t>
  </si>
  <si>
    <t>Phaseollidin</t>
  </si>
  <si>
    <t>C05230</t>
  </si>
  <si>
    <t>PMDB00895</t>
  </si>
  <si>
    <t>C11 H20 N10 O2</t>
  </si>
  <si>
    <t>Secondary  Metabolites_Alkaloids_Indole Alkaloids_PMDB00251_Roxburghine B</t>
  </si>
  <si>
    <t>Roxburghine B</t>
  </si>
  <si>
    <t>C09237</t>
  </si>
  <si>
    <t>PMDB00251</t>
  </si>
  <si>
    <t xml:space="preserve">Secondary  Metabolites_Alkaloids_Indole Alkaloids_PMDB00223_Harmine
</t>
  </si>
  <si>
    <t xml:space="preserve">Harmine
</t>
  </si>
  <si>
    <t xml:space="preserve"> 
C06538</t>
  </si>
  <si>
    <t>PMDB00223</t>
  </si>
  <si>
    <t>C9 H4 N6 O</t>
  </si>
  <si>
    <t>Secondary  Metabolites_Alkaloids_Other Alkaloids_ 
PMDB00391_ 
Cinegalline</t>
  </si>
  <si>
    <t xml:space="preserve"> 
Cinegalline</t>
  </si>
  <si>
    <t xml:space="preserve"> 
C10762</t>
  </si>
  <si>
    <t xml:space="preserve"> 
PMDB00391</t>
  </si>
  <si>
    <t>C14 H33 Cl N6 O P2 S</t>
  </si>
  <si>
    <t>Secondary  Metabolites_Alkaloids_Quinazoline Alkaloids_ 
PMDB00352_Anisessine</t>
  </si>
  <si>
    <t>Anisessine</t>
  </si>
  <si>
    <t xml:space="preserve"> 
C10637</t>
  </si>
  <si>
    <t xml:space="preserve"> 
PMDB00352</t>
  </si>
  <si>
    <t>C7 H16 N3 O11 P</t>
  </si>
  <si>
    <t>Secondary  Metabolites_Others_Others_PMDB00037_ 
Brunsvigine</t>
  </si>
  <si>
    <t xml:space="preserve"> 
Brunsvigine</t>
  </si>
  <si>
    <t xml:space="preserve"> 
C08519</t>
  </si>
  <si>
    <t>PMDB00037</t>
  </si>
  <si>
    <t>C11 H22 N5 O2 P</t>
  </si>
  <si>
    <t>Secondary  Metabolites_Alkaloids_Indole Alkaloids_PMDB00214_Gabunamine</t>
  </si>
  <si>
    <t>Gabunamine</t>
  </si>
  <si>
    <t xml:space="preserve"> 
C09193</t>
  </si>
  <si>
    <t>PMDB00214</t>
  </si>
  <si>
    <t>C35 H46 O14</t>
  </si>
  <si>
    <t>Secondary  Metabolites_Alkaloids_Diterpenoid Alkaloids
_PMDB00100_Cassaine</t>
  </si>
  <si>
    <t>Cassaine</t>
  </si>
  <si>
    <t xml:space="preserve"> 
C08670</t>
  </si>
  <si>
    <t>PMDB00100</t>
  </si>
  <si>
    <t>C19 H18 O10</t>
  </si>
  <si>
    <t>Secondary  Metabolites_Phenolics
_Minor Flavonoids_PMDB00597_ 
Silandrin</t>
  </si>
  <si>
    <t xml:space="preserve"> 
Silandrin</t>
  </si>
  <si>
    <t xml:space="preserve"> 
C08600</t>
  </si>
  <si>
    <t>PMDB00597</t>
  </si>
  <si>
    <t>C28 H44 F2 O3</t>
  </si>
  <si>
    <t>Hormones_Jasmonates_Jasmonates_PMDB01008
_Methyl jasmonate</t>
  </si>
  <si>
    <t>Methyl jasmonate</t>
  </si>
  <si>
    <t xml:space="preserve">PMDB01008
</t>
  </si>
  <si>
    <t>C10 H20 N6</t>
  </si>
  <si>
    <t>Secondary  Metabolites_Phenolics
_Quinones
_PMDB00846_ 
Ramentaceone</t>
  </si>
  <si>
    <t xml:space="preserve"> 
Ramentaceone</t>
  </si>
  <si>
    <t xml:space="preserve"> 
C10398</t>
  </si>
  <si>
    <t>PMDB00846</t>
  </si>
  <si>
    <t>Hormones_Gibberellins
_Gibberellins
_PMDB00989_gibberellin A40</t>
  </si>
  <si>
    <t>gibberellin A40</t>
  </si>
  <si>
    <t>PMDB00989</t>
  </si>
  <si>
    <t>Secondary  Metabolites_Alkaloids_Other Alkaloids_PMDB00413_Cyclovirobuxine C</t>
  </si>
  <si>
    <t>Cyclovirobuxine C</t>
  </si>
  <si>
    <t xml:space="preserve"> 
C10801</t>
  </si>
  <si>
    <t>PMDB00413</t>
  </si>
  <si>
    <t>C24 H32 O4 S</t>
  </si>
  <si>
    <t>Hormones_Abscisic acid
_Abscisic acid
_PMDB01012_ 
dihydroxyphaseic acid</t>
  </si>
  <si>
    <t xml:space="preserve"> 
dihydroxyphaseic acid</t>
  </si>
  <si>
    <t>PMDB01012</t>
  </si>
  <si>
    <t>Secondary  Metabolites_Phenolics
_Anthocyanins
_PMDB00523_Malvin</t>
  </si>
  <si>
    <t>Malvin</t>
  </si>
  <si>
    <t xml:space="preserve"> 
C08718</t>
  </si>
  <si>
    <t>PMDB00523</t>
  </si>
  <si>
    <t>C35 H45 N O11</t>
  </si>
  <si>
    <t>Secondary  Metabolites_Phenolics
_Anthocyanins
_PMDB00514_Hispidol</t>
  </si>
  <si>
    <t>Hispidol</t>
  </si>
  <si>
    <t xml:space="preserve"> 
C08644</t>
  </si>
  <si>
    <t>PMDB00514</t>
  </si>
  <si>
    <t>C8 H10 N6 O4</t>
  </si>
  <si>
    <t>Secondary  Metabolites_Alkaloids_Other Alkaloids_PMDB00496_ 
Atheroline</t>
  </si>
  <si>
    <t xml:space="preserve"> 
Atheroline</t>
  </si>
  <si>
    <t xml:space="preserve"> 
C09343</t>
  </si>
  <si>
    <t>PMDB00496</t>
  </si>
  <si>
    <t>Secondary  Metabolites_Phenolics
_Isoflavonoids
_PMDB00855_ 
Biochanin A</t>
  </si>
  <si>
    <t xml:space="preserve"> 
Biochanin A</t>
  </si>
  <si>
    <t xml:space="preserve"> 
C00814</t>
  </si>
  <si>
    <t>PMDB00855</t>
  </si>
  <si>
    <t>C9 H24 N4 O6</t>
  </si>
  <si>
    <t>Secondary  Metabolites_Alkaloids_Diterpenoid Alkaloids
_PMDB00093_Beiwutine</t>
  </si>
  <si>
    <t>Beiwutine</t>
  </si>
  <si>
    <t xml:space="preserve"> 
C08663</t>
  </si>
  <si>
    <t>PMDB00093</t>
  </si>
  <si>
    <t>C24 H61 N9 O2 P2 S2</t>
  </si>
  <si>
    <t>Secondary  Metabolites_Alkaloids_Indole Alkaloids_PMDB00190_Ceceline</t>
  </si>
  <si>
    <t>Ceceline</t>
  </si>
  <si>
    <t xml:space="preserve"> 
C09130</t>
  </si>
  <si>
    <t>PMDB00190</t>
  </si>
  <si>
    <t>C16 H28 N6</t>
  </si>
  <si>
    <t>Secondary  Metabolites_Phenolics
_Minor Flavonoids_PMDB00585_Neoastilbin</t>
  </si>
  <si>
    <t>Neoastilbin</t>
  </si>
  <si>
    <t xml:space="preserve"> 
C09803</t>
  </si>
  <si>
    <t>PMDB00585</t>
  </si>
  <si>
    <t>C18 H38 N6 O7</t>
  </si>
  <si>
    <t>Hormones_Gibberellins
_Gibberellins
_PMDB00985_ 
Gibberellin A36</t>
  </si>
  <si>
    <t xml:space="preserve"> 
Gibberellin A36</t>
  </si>
  <si>
    <t xml:space="preserve"> 
C11862</t>
  </si>
  <si>
    <t>PMDB00985</t>
  </si>
  <si>
    <t>C17 H30 O8</t>
  </si>
  <si>
    <t>Secondary  Metabolites_Phenolics
_Anthocyanins
_PMDB00529_Peonidin</t>
  </si>
  <si>
    <t>Peonidin</t>
  </si>
  <si>
    <t xml:space="preserve"> 
C08726</t>
  </si>
  <si>
    <t>PMDB00529</t>
  </si>
  <si>
    <t>C11 H23 N7 O3</t>
  </si>
  <si>
    <t>Secondary  Metabolites_Alkaloids_Indole Alkaloids_PMDB00236_Mesembrinol</t>
  </si>
  <si>
    <t>Mesembrinol</t>
  </si>
  <si>
    <t>C09225</t>
  </si>
  <si>
    <t>PMDB00236</t>
  </si>
  <si>
    <t xml:space="preserve">Secondary  Metabolites_Alkaloids_Other Alkaloids_PMDB00449_Calystegin A3
</t>
  </si>
  <si>
    <t xml:space="preserve">Calystegin A3
</t>
  </si>
  <si>
    <t xml:space="preserve">C10850
</t>
  </si>
  <si>
    <t>PMDB00449</t>
  </si>
  <si>
    <t>C4 H6 N3 O2 P</t>
  </si>
  <si>
    <t>Secondary  Metabolites_Phenolics
_Quinones
_PMDB00848_ 
Rhein</t>
  </si>
  <si>
    <t xml:space="preserve"> 
Rhein</t>
  </si>
  <si>
    <t xml:space="preserve"> 
C10401</t>
  </si>
  <si>
    <t>PMDB00848</t>
  </si>
  <si>
    <t>C13 H22 N2 O P2</t>
  </si>
  <si>
    <t>Secondary  Metabolites_Terpenoids_Phytosterols_PMDB00728_ 
Isofucosterol</t>
  </si>
  <si>
    <t xml:space="preserve"> 
Isofucosterol</t>
  </si>
  <si>
    <t xml:space="preserve"> 
C08821</t>
  </si>
  <si>
    <t>PMDB00728</t>
  </si>
  <si>
    <t>C27 H37 F O2</t>
  </si>
  <si>
    <t>Secondary  Metabolites_Alkaloids_Betalain Alkaloids_ 
PMDB00080_ 
Prebetanin</t>
  </si>
  <si>
    <t xml:space="preserve"> 
Prebetanin</t>
  </si>
  <si>
    <t xml:space="preserve"> 
C08567</t>
  </si>
  <si>
    <t xml:space="preserve"> 
PMDB00080</t>
  </si>
  <si>
    <t>C33 H58 O11</t>
  </si>
  <si>
    <t>Secondary  Metabolites_Phenolics
_Quinones
_PMDB00812_ 
Cyperaquinone</t>
  </si>
  <si>
    <t xml:space="preserve"> 
Cyperaquinone</t>
  </si>
  <si>
    <t>C10322</t>
  </si>
  <si>
    <t>PMDB00812</t>
  </si>
  <si>
    <t>Secondary  Metabolites_Phenolics
_Minor Flavonoids_PMDB00564_Diffutin</t>
  </si>
  <si>
    <t>Diffutin</t>
  </si>
  <si>
    <t xml:space="preserve"> 
C09636</t>
  </si>
  <si>
    <t>PMDB00564</t>
  </si>
  <si>
    <t>C12 H37 N10 O7 P</t>
  </si>
  <si>
    <t>Secondary  Metabolites_Alkaloids_Indole Alkaloids_PMDB00241_Olivacine</t>
  </si>
  <si>
    <t>Olivacine</t>
  </si>
  <si>
    <t>C09230</t>
  </si>
  <si>
    <t>PMDB00241</t>
  </si>
  <si>
    <t>C9 H14 N2 O2 S2</t>
  </si>
  <si>
    <t>Secondary  Metabolites_Alkaloids_Peptide Alkaloids_ 
PMDB00334_Aralionine A</t>
  </si>
  <si>
    <t>Aralionine A</t>
  </si>
  <si>
    <t xml:space="preserve"> 
C09999</t>
  </si>
  <si>
    <t xml:space="preserve"> 
PMDB00334</t>
  </si>
  <si>
    <t>C24 H53 N6 O4 P3</t>
  </si>
  <si>
    <t>Secondary  Metabolites_Alkaloids_Peptide Alkaloids_ 
PMDB00341_Integerressine</t>
  </si>
  <si>
    <t>Integerressine</t>
  </si>
  <si>
    <t xml:space="preserve"> 
C10006</t>
  </si>
  <si>
    <t xml:space="preserve"> 
PMDB00341</t>
  </si>
  <si>
    <t>C38 H50 O3</t>
  </si>
  <si>
    <t>Secondary  Metabolites_Phenolics
_Anthocyanins
_PMDB00505_Bracteatin</t>
  </si>
  <si>
    <t>Bracteatin</t>
  </si>
  <si>
    <t xml:space="preserve"> 
C08577</t>
  </si>
  <si>
    <t>PMDB00505</t>
  </si>
  <si>
    <t>C12 H26 N6 O3</t>
  </si>
  <si>
    <t>Secondary  Metabolites_Alkaloids_Other Alkaloids_PMDB00459_Scopolamine</t>
  </si>
  <si>
    <t>Scopolamine</t>
  </si>
  <si>
    <t xml:space="preserve"> 
C01851</t>
  </si>
  <si>
    <t>PMDB00459</t>
  </si>
  <si>
    <t>C7 H22 N5 O6 P</t>
  </si>
  <si>
    <t>Secondary  Metabolites_Terpenoids_Phytosterols_PMDB00729_Lanosterol</t>
  </si>
  <si>
    <t>Lanosterol</t>
  </si>
  <si>
    <t xml:space="preserve"> 
C01724</t>
  </si>
  <si>
    <t>PMDB00729</t>
  </si>
  <si>
    <t>Secondary  Metabolites_Alkaloids_Peptide Alkaloids_PMDB00335_Canthiumine</t>
  </si>
  <si>
    <t>Canthiumine</t>
  </si>
  <si>
    <t xml:space="preserve"> 
C10000</t>
  </si>
  <si>
    <t>PMDB00335</t>
  </si>
  <si>
    <t>C17 H41 Cl N8 O8 S</t>
  </si>
  <si>
    <t>Secondary  Metabolites_Phenolics
_Flavones
_PMDB00614_Diosmin</t>
  </si>
  <si>
    <t>Diosmin</t>
  </si>
  <si>
    <t xml:space="preserve"> 
C10039</t>
  </si>
  <si>
    <t>PMDB00614</t>
  </si>
  <si>
    <t>C31 H63 O5 P3</t>
  </si>
  <si>
    <t>Secondary  Metabolites_Alkaloids_Indole Alkaloids_PMDB00228_Ibogamine</t>
  </si>
  <si>
    <t>Ibogamine</t>
  </si>
  <si>
    <t>C09215</t>
  </si>
  <si>
    <t>PMDB00228</t>
  </si>
  <si>
    <t>C14 H28 N6</t>
  </si>
  <si>
    <t>Secondary  Metabolites_Phenolics
_Isoflavonoids
_PMDB00885_Medicarpin</t>
  </si>
  <si>
    <t>Medicarpin</t>
  </si>
  <si>
    <t xml:space="preserve"> 
C10503</t>
  </si>
  <si>
    <t>PMDB00885</t>
  </si>
  <si>
    <t>C12 H26 N6 O</t>
  </si>
  <si>
    <t>Secondary  Metabolites_Alkaloids_Other Alkaloids_PMDB00291_Lycofawcine</t>
  </si>
  <si>
    <t>Lycofawcine</t>
  </si>
  <si>
    <t>C09878</t>
  </si>
  <si>
    <t>PMDB00291</t>
  </si>
  <si>
    <t>Hormones_Gibberellins
_Gibberellins
_PMDB00970_Gibberellin A14</t>
  </si>
  <si>
    <t>Gibberellin A14</t>
  </si>
  <si>
    <t xml:space="preserve"> 
C11858</t>
  </si>
  <si>
    <t>PMDB00970</t>
  </si>
  <si>
    <t>C13 H12 N6 O6</t>
  </si>
  <si>
    <t>Secondary  Metabolites_Terpenoids_Carotenoids_PMDB00761_ 
Lutein</t>
  </si>
  <si>
    <t xml:space="preserve"> 
Lutein</t>
  </si>
  <si>
    <t xml:space="preserve"> 
C08601</t>
  </si>
  <si>
    <t>PMDB00761</t>
  </si>
  <si>
    <t>C30 H48 O10</t>
  </si>
  <si>
    <t>Secondary  Metabolites_Phenolics
_Benzofurans
_PMDB00547_ 
Toxyl angelate</t>
  </si>
  <si>
    <t xml:space="preserve"> 
Toxyl angelate</t>
  </si>
  <si>
    <t xml:space="preserve"> 
C08981</t>
  </si>
  <si>
    <t>PMDB00547</t>
  </si>
  <si>
    <t>Secondary  Metabolites_Terpenoids_Phytosterols_PMDB00742_Withaferin A</t>
  </si>
  <si>
    <t>Withaferin A</t>
  </si>
  <si>
    <t xml:space="preserve"> 
C08841</t>
  </si>
  <si>
    <t>PMDB00742</t>
  </si>
  <si>
    <t>C26 H42 N6 O2</t>
  </si>
  <si>
    <t>Secondary  Metabolites_Phenolics
_Tannins
_PMDB00926_Chebulagic acid</t>
  </si>
  <si>
    <t>Chebulagic acid</t>
  </si>
  <si>
    <t xml:space="preserve"> 
C10214</t>
  </si>
  <si>
    <t>PMDB00926</t>
  </si>
  <si>
    <t>Secondary  Metabolites_Alkaloids_Other Alkaloids_PMDB00288_Luciduline</t>
  </si>
  <si>
    <t>Luciduline</t>
  </si>
  <si>
    <t xml:space="preserve"> 
C09872</t>
  </si>
  <si>
    <t>PMDB00288</t>
  </si>
  <si>
    <t>C6 H18 N5 O P</t>
  </si>
  <si>
    <t>Secondary  Metabolites_Phenolics
_Isoflavonoids
_PMDB00909_ 
Sojagol</t>
  </si>
  <si>
    <t xml:space="preserve"> 
Sojagol</t>
  </si>
  <si>
    <t xml:space="preserve"> 
C10529</t>
  </si>
  <si>
    <t>PMDB00909</t>
  </si>
  <si>
    <t>C24 H20 N2</t>
  </si>
  <si>
    <t>Secondary  Metabolites_Phenolics
_Isoflavonoids
_PMDB00893_Pachyrrhizone</t>
  </si>
  <si>
    <t>Pachyrrhizone</t>
  </si>
  <si>
    <t xml:space="preserve"> 
C10512</t>
  </si>
  <si>
    <t>PMDB00893</t>
  </si>
  <si>
    <t>Secondary  Metabolites_Alkaloids_Other Alkaloids_PMDB00395_ 
Nuttalline</t>
  </si>
  <si>
    <t xml:space="preserve"> 
Nuttalline</t>
  </si>
  <si>
    <t xml:space="preserve"> 
C10776</t>
  </si>
  <si>
    <t>PMDB00395</t>
  </si>
  <si>
    <t>Secondary  Metabolites_Others_Others_PMDB00043_Crinamine</t>
  </si>
  <si>
    <t>Crinamine</t>
  </si>
  <si>
    <t xml:space="preserve"> 
C08525</t>
  </si>
  <si>
    <t>PMDB00043</t>
  </si>
  <si>
    <t>C12 H16 N O4 P S</t>
  </si>
  <si>
    <t>Secondary  Metabolites_Terpenoids_Steroid Saponins_PMDB00700_ 
Digitonin</t>
  </si>
  <si>
    <t xml:space="preserve"> 
Digitonin</t>
  </si>
  <si>
    <t xml:space="preserve"> 
C00765</t>
  </si>
  <si>
    <t>PMDB00700</t>
  </si>
  <si>
    <t>Secondary  Metabolites_Alkaloids_Indole Alkaloids_PMDB00150_ 
Affinisine</t>
  </si>
  <si>
    <t xml:space="preserve"> 
Affinisine</t>
  </si>
  <si>
    <t xml:space="preserve"> 
C09022</t>
  </si>
  <si>
    <t>PMDB00150</t>
  </si>
  <si>
    <t>C16 H27 F3 O2</t>
  </si>
  <si>
    <t xml:space="preserve">Secondary  Metabolites_Phenolics
_Minor Flavonoids_PMDB00578_7-Hydroxyflavan
</t>
  </si>
  <si>
    <t xml:space="preserve">7-Hydroxyflavan
</t>
  </si>
  <si>
    <t xml:space="preserve"> 
C09757</t>
  </si>
  <si>
    <t>PMDB00578</t>
  </si>
  <si>
    <t>Hormones_Brassinosteroids_Brassinosteroids_PMDB00958_Campestanol</t>
  </si>
  <si>
    <t>Campestanol</t>
  </si>
  <si>
    <t>C15787</t>
  </si>
  <si>
    <t>PMDB00958</t>
  </si>
  <si>
    <t>C17 H17 Cl N6 P2</t>
  </si>
  <si>
    <t>Secondary  Metabolites_Terpenoids_Diterpenoids_PMDB00635_Jatrophatrione</t>
  </si>
  <si>
    <t>Jatrophatrione</t>
  </si>
  <si>
    <t>C09119</t>
  </si>
  <si>
    <t>PMDB00635</t>
  </si>
  <si>
    <t>Secondary  Metabolites_Terpenoids_Other Terpenoids_PMDB00777_ 
Betulin</t>
  </si>
  <si>
    <t xml:space="preserve"> 
Betulin</t>
  </si>
  <si>
    <t xml:space="preserve"> 
C08618</t>
  </si>
  <si>
    <t>PMDB00777</t>
  </si>
  <si>
    <t>C28 H42 O4</t>
  </si>
  <si>
    <t>Secondary  Metabolites_Alkaloids_Other Alkaloids_PMDB00430_Solasodine</t>
  </si>
  <si>
    <t>Solasodine</t>
  </si>
  <si>
    <t>C10822</t>
  </si>
  <si>
    <t>PMDB00430</t>
  </si>
  <si>
    <t>Secondary  Metabolites_Phenolics
_Quinones
_PMDB00814_Deoxylapachol</t>
  </si>
  <si>
    <t>Deoxylapachol</t>
  </si>
  <si>
    <t xml:space="preserve"> 
C10325</t>
  </si>
  <si>
    <t>PMDB00814</t>
  </si>
  <si>
    <t>Secondary  Metabolites_Terpenoids_Phytosterols_PMDB00735_Ponasterone A</t>
  </si>
  <si>
    <t>Ponasterone A</t>
  </si>
  <si>
    <t xml:space="preserve"> 
C08835</t>
  </si>
  <si>
    <t>PMDB00735</t>
  </si>
  <si>
    <t>C27 H44 O4 S</t>
  </si>
  <si>
    <t>Secondary  Metabolites_Alkaloids_Indole Alkaloids_PMDB00267_Vinblastine</t>
  </si>
  <si>
    <t>Vinblastine</t>
  </si>
  <si>
    <t>C07201</t>
  </si>
  <si>
    <t>PMDB00267</t>
  </si>
  <si>
    <t>C40 H62 N10 O8</t>
  </si>
  <si>
    <t>Secondary  Metabolites_Terpenoids_Other Terpenoids_PMDB00778_Betulinic acid</t>
  </si>
  <si>
    <t>Betulinic acid</t>
  </si>
  <si>
    <t xml:space="preserve"> 
C08619</t>
  </si>
  <si>
    <t>PMDB00778</t>
  </si>
  <si>
    <t>C26 H42 F2 O4</t>
  </si>
  <si>
    <t>Secondary  Metabolites_Terpenoids_Triterpenoid Saponins_PMDB00676_Glycyrrhetinate</t>
  </si>
  <si>
    <t>Glycyrrhetinate</t>
  </si>
  <si>
    <t xml:space="preserve"> 
C02283</t>
  </si>
  <si>
    <t>PMDB00676</t>
  </si>
  <si>
    <t xml:space="preserve">Secondary  Metabolites_Alkaloids_Other Alkaloids_PMDB00454_Convolamine
</t>
  </si>
  <si>
    <t xml:space="preserve">Convolamine
</t>
  </si>
  <si>
    <t>C10854</t>
  </si>
  <si>
    <t>PMDB00454</t>
  </si>
  <si>
    <t>Secondary  Metabolites_Phenolics
_Benzofurans
_PMDB00543_alpha-Pyrufuran</t>
  </si>
  <si>
    <t>alpha-Pyrufuran</t>
  </si>
  <si>
    <t xml:space="preserve"> 
C08929</t>
  </si>
  <si>
    <t>PMDB00543</t>
  </si>
  <si>
    <t>Secondary  Metabolites_Terpenoids_Triterpenoid Saponins_PMDB00688_Theasaponin</t>
  </si>
  <si>
    <t>Theasaponin</t>
  </si>
  <si>
    <t>C08986</t>
  </si>
  <si>
    <t>PMDB00688</t>
  </si>
  <si>
    <t>C53 H118 N7 O18 P3</t>
  </si>
  <si>
    <t>Secondary  Metabolites_Phenolics
_Anthocyanins
_PMDB00520_Luteolinidin</t>
  </si>
  <si>
    <t>Luteolinidin</t>
  </si>
  <si>
    <t xml:space="preserve"> 
C08652</t>
  </si>
  <si>
    <t>PMDB00520</t>
  </si>
  <si>
    <t>C7 H22 N5 O4 P</t>
  </si>
  <si>
    <t>Secondary  Metabolites_Alkaloids_Other Alkaloids_ 
PMDB00380_ 
Oxymatrine</t>
  </si>
  <si>
    <t xml:space="preserve"> 
Oxymatrine</t>
  </si>
  <si>
    <t>C10749</t>
  </si>
  <si>
    <t xml:space="preserve"> 
PMDB00380</t>
  </si>
  <si>
    <t>Secondary  Metabolites_Terpenoids_Steroid Saponins_PMDB00693_ 
Avenacoside A</t>
  </si>
  <si>
    <t xml:space="preserve"> 
Avenacoside A</t>
  </si>
  <si>
    <t>C08887</t>
  </si>
  <si>
    <t>PMDB00693</t>
  </si>
  <si>
    <t>Hormones_Gibberellins
_Gibberellins
_PMDB00975_Gibberellin A19</t>
  </si>
  <si>
    <t>Gibberellin A19</t>
  </si>
  <si>
    <t xml:space="preserve"> 
C02034</t>
  </si>
  <si>
    <t>PMDB00975</t>
  </si>
  <si>
    <t>C24 H26 O3</t>
  </si>
  <si>
    <t>Secondary  Metabolites_Phenolics
_Quinones
_PMDB00841_ 
Plastoquinone</t>
  </si>
  <si>
    <t xml:space="preserve"> 
Plastoquinone</t>
  </si>
  <si>
    <t xml:space="preserve"> 
C02061</t>
  </si>
  <si>
    <t>PMDB00841</t>
  </si>
  <si>
    <t>C13 H33 N4 O2 P S</t>
  </si>
  <si>
    <t>Secondary  Metabolites_Phenolics
_Minor Flavonoids_PMDB00577_Homoeriodictyol</t>
  </si>
  <si>
    <t>Homoeriodictyol</t>
  </si>
  <si>
    <t xml:space="preserve"> 
C09756</t>
  </si>
  <si>
    <t>PMDB00577</t>
  </si>
  <si>
    <t>Secondary  Metabolites_Terpenoids_Monoterpenoids_PMDB00658_Menthofuran</t>
  </si>
  <si>
    <t>Menthofuran</t>
  </si>
  <si>
    <t>C09868</t>
  </si>
  <si>
    <t>PMDB00658</t>
  </si>
  <si>
    <t>Secondary  Metabolites_Terpenoids_Other Terpenoids_PMDB00790_Tingenone</t>
  </si>
  <si>
    <t>Tingenone</t>
  </si>
  <si>
    <t xml:space="preserve"> 
C08638</t>
  </si>
  <si>
    <t>PMDB00790</t>
  </si>
  <si>
    <t>Secondary  Metabolites_Alkaloids_Diterpenoid Alkaloids
_PMDB00120_Icacine</t>
  </si>
  <si>
    <t>Icacine</t>
  </si>
  <si>
    <t>C08690</t>
  </si>
  <si>
    <t>PMDB00120</t>
  </si>
  <si>
    <t>Secondary  Metabolites_Alkaloids_Peptide Alkaloids_PMDB00347_Pandamine</t>
  </si>
  <si>
    <t>Pandamine</t>
  </si>
  <si>
    <t>C10012</t>
  </si>
  <si>
    <t>PMDB00347</t>
  </si>
  <si>
    <t>Secondary  Metabolites_Alkaloids_Indole Alkaloids_ 
PMDB00159_ 
Angustine</t>
  </si>
  <si>
    <t xml:space="preserve"> 
Angustine</t>
  </si>
  <si>
    <t xml:space="preserve"> 
C09032</t>
  </si>
  <si>
    <t xml:space="preserve"> 
PMDB00159</t>
  </si>
  <si>
    <t xml:space="preserve">Hormones_Gibberellins
_Gibberellins
_PMDB00977_Gibberellin A20
</t>
  </si>
  <si>
    <t xml:space="preserve">Gibberellin A20
</t>
  </si>
  <si>
    <t xml:space="preserve"> 
C02035</t>
  </si>
  <si>
    <t>PMDB00977</t>
  </si>
  <si>
    <t>C16 H24 N6 O2</t>
  </si>
  <si>
    <t>Secondary  Metabolites_Others_Others_PMDB00045_ 
Haemanthamine</t>
  </si>
  <si>
    <t xml:space="preserve"> 
Haemanthamine</t>
  </si>
  <si>
    <t xml:space="preserve"> 
C08527</t>
  </si>
  <si>
    <t>PMDB00045</t>
  </si>
  <si>
    <t>Secondary  Metabolites_Alkaloids_Other Alkaloids_PMDB00418
_Irehine</t>
  </si>
  <si>
    <t>Irehine</t>
  </si>
  <si>
    <t xml:space="preserve"> 
C10810</t>
  </si>
  <si>
    <t xml:space="preserve">PMDB00418
</t>
  </si>
  <si>
    <t>Secondary  Metabolites_Phenolics
_Minor Flavonoids_PMDB00559_ 
Broussonin C</t>
  </si>
  <si>
    <t xml:space="preserve"> 
Broussonin C</t>
  </si>
  <si>
    <t>C09524</t>
  </si>
  <si>
    <t>PMDB00559</t>
  </si>
  <si>
    <t>C13 H24 N6 O3</t>
  </si>
  <si>
    <t>Secondary  Metabolites_Alkaloids_Other Alkaloids_PMDB00313_Dendrobine</t>
  </si>
  <si>
    <t>Dendrobine</t>
  </si>
  <si>
    <t xml:space="preserve"> 
C09943</t>
  </si>
  <si>
    <t>PMDB00313</t>
  </si>
  <si>
    <t>Secondary  Metabolites_Phenolics
_Quinones
_PMDB00819_ 
Echinone</t>
  </si>
  <si>
    <t xml:space="preserve"> 
Echinone</t>
  </si>
  <si>
    <t xml:space="preserve"> 
C10338</t>
  </si>
  <si>
    <t>PMDB00819</t>
  </si>
  <si>
    <t>Secondary  Metabolites_Alkaloids_Other Alkaloids_PMDB00416_Germine</t>
  </si>
  <si>
    <t>Germine</t>
  </si>
  <si>
    <t xml:space="preserve"> 
C10807</t>
  </si>
  <si>
    <t>PMDB00416</t>
  </si>
  <si>
    <t>C17 H37 N9 O5 P2</t>
  </si>
  <si>
    <t>Secondary  Metabolites_Phenolics
_Minor Flavonoids_PMDB00582_ 
Naringenin</t>
  </si>
  <si>
    <t xml:space="preserve"> 
Naringenin</t>
  </si>
  <si>
    <t xml:space="preserve"> 
C00509</t>
  </si>
  <si>
    <t>PMDB00582</t>
  </si>
  <si>
    <t>C6 H16 N4 O8</t>
  </si>
  <si>
    <t>Secondary  Metabolites_Alkaloids_Other Alkaloids_ 
PMDB00471_ 
Tigloidine</t>
  </si>
  <si>
    <t xml:space="preserve"> 
Tigloidine</t>
  </si>
  <si>
    <t xml:space="preserve"> 
C10868</t>
  </si>
  <si>
    <t xml:space="preserve"> 
PMDB00471</t>
  </si>
  <si>
    <t>Secondary  Metabolites_Alkaloids_Diterpenoid Alkaloids
_PMDB00119_Icaceine</t>
  </si>
  <si>
    <t>Icaceine</t>
  </si>
  <si>
    <t xml:space="preserve"> 
C08689</t>
  </si>
  <si>
    <t>PMDB00119</t>
  </si>
  <si>
    <t>Secondary  Metabolites_Phenolics
_Tannins
_PMDB00940_Procyanidin B4</t>
  </si>
  <si>
    <t>Procyanidin B4</t>
  </si>
  <si>
    <t xml:space="preserve"> 
C10238</t>
  </si>
  <si>
    <t>PMDB00940</t>
  </si>
  <si>
    <t>C39 H46 O4</t>
  </si>
  <si>
    <t>Secondary  Metabolites_Alkaloids_Indole Alkaloids_ 
PMDB00263_Trichotomine</t>
  </si>
  <si>
    <t>Trichotomine</t>
  </si>
  <si>
    <t>C09247</t>
  </si>
  <si>
    <t xml:space="preserve"> 
PMDB00263</t>
  </si>
  <si>
    <t>C27 H48 O8 S</t>
  </si>
  <si>
    <t>Secondary  Metabolites_Alkaloids_Other Alkaloids_ 
PMDB00293_Lyconnotine</t>
  </si>
  <si>
    <t>Lyconnotine</t>
  </si>
  <si>
    <t xml:space="preserve"> 
C09881</t>
  </si>
  <si>
    <t xml:space="preserve"> 
PMDB00293</t>
  </si>
  <si>
    <t>Secondary  Metabolites_Terpenoids_Phytosterols_PMDB00736_Poriferasterol</t>
  </si>
  <si>
    <t>Poriferasterol</t>
  </si>
  <si>
    <t xml:space="preserve"> 
C08836</t>
  </si>
  <si>
    <t>PMDB00736</t>
  </si>
  <si>
    <t>C25 H36 N2 O S</t>
  </si>
  <si>
    <t>Secondary  Metabolites_Terpenoids_Carotenoids_PMDB00754_ 
beta-Cryptoxanthin</t>
  </si>
  <si>
    <t xml:space="preserve"> 
beta-Cryptoxanthin</t>
  </si>
  <si>
    <t xml:space="preserve"> 
C08591</t>
  </si>
  <si>
    <t>PMDB00754</t>
  </si>
  <si>
    <t>C29 H44 O10</t>
  </si>
  <si>
    <t>Secondary  Metabolites_Phenolics
_Minor Flavonoids_PMDB00584_Narirutin</t>
  </si>
  <si>
    <t>Narirutin</t>
  </si>
  <si>
    <t>C09793</t>
  </si>
  <si>
    <t>PMDB00584</t>
  </si>
  <si>
    <t>Hormones_Gibberellins
_Gibberellins
_PMDB00967_Gibberellin A12</t>
  </si>
  <si>
    <t>Gibberellin A12</t>
  </si>
  <si>
    <t xml:space="preserve"> 
C11857</t>
  </si>
  <si>
    <t>PMDB00967</t>
  </si>
  <si>
    <t>C18 H36 O5</t>
  </si>
  <si>
    <t>Secondary  Metabolites_Phenolics
_Benzofurans
_PMDB00548_ 
Tremetone</t>
  </si>
  <si>
    <t xml:space="preserve"> 
Tremetone</t>
  </si>
  <si>
    <t xml:space="preserve"> 
C08992</t>
  </si>
  <si>
    <t>PMDB00548</t>
  </si>
  <si>
    <t>Secondary  Metabolites_Phenolics
_Benzofurans
_PMDB00535_ 
Dehydrotremetone</t>
  </si>
  <si>
    <t xml:space="preserve"> 
Dehydrotremetone</t>
  </si>
  <si>
    <t xml:space="preserve"> 
C08741</t>
  </si>
  <si>
    <t>PMDB00535</t>
  </si>
  <si>
    <t>Secondary  Metabolites_Phenolics
_Anthocyanins
_PMDB00509_Isosalipurpol</t>
  </si>
  <si>
    <t>Isosalipurpol</t>
  </si>
  <si>
    <t xml:space="preserve"> 
C06561</t>
  </si>
  <si>
    <t>PMDB00509</t>
  </si>
  <si>
    <t>Secondary  Metabolites_Alkaloids_Quinazoline Alkaloids_PMDB00351_ 
Aniflorine</t>
  </si>
  <si>
    <t xml:space="preserve"> 
Aniflorine</t>
  </si>
  <si>
    <t>C10635</t>
  </si>
  <si>
    <t>PMDB00351</t>
  </si>
  <si>
    <t>C17 H17 N7 O2</t>
  </si>
  <si>
    <t>Secondary  Metabolites_Others_Others_PMDB00053_ 
Pancratistatin</t>
  </si>
  <si>
    <t xml:space="preserve"> 
Pancratistatin</t>
  </si>
  <si>
    <t xml:space="preserve"> 
C08535</t>
  </si>
  <si>
    <t>PMDB00053</t>
  </si>
  <si>
    <t>Secondary  Metabolites_Phenolics
_Isoflavonoids
_PMDB00913_Tectorigenin</t>
  </si>
  <si>
    <t>Tectorigenin</t>
  </si>
  <si>
    <t xml:space="preserve"> 
C10534</t>
  </si>
  <si>
    <t>PMDB00913</t>
  </si>
  <si>
    <t>Secondary  Metabolites_Phenolics
_Isoflavonoids
_PMDB00867_ 
Ferreirin</t>
  </si>
  <si>
    <t xml:space="preserve"> 
Ferreirin</t>
  </si>
  <si>
    <t xml:space="preserve"> 
C10419</t>
  </si>
  <si>
    <t>PMDB00867</t>
  </si>
  <si>
    <t>Secondary  Metabolites_Alkaloids_Other Alkaloids_ 
PMDB00383_ 
Aphylline</t>
  </si>
  <si>
    <t xml:space="preserve"> 
Aphylline</t>
  </si>
  <si>
    <t xml:space="preserve"> 
C10752</t>
  </si>
  <si>
    <t xml:space="preserve"> 
PMDB00383</t>
  </si>
  <si>
    <t>C16 H8 O S</t>
  </si>
  <si>
    <t>Secondary  Metabolites_Phenolics
_Isoflavonoids
_PMDB00910
_Sophoraisoflavanone A</t>
  </si>
  <si>
    <t>Sophoraisoflavanone A</t>
  </si>
  <si>
    <t xml:space="preserve"> 
C10530</t>
  </si>
  <si>
    <t xml:space="preserve">PMDB00910
</t>
  </si>
  <si>
    <t>C17 H38 N8 O</t>
  </si>
  <si>
    <t>Secondary  Metabolites_Alkaloids_Other Alkaloids_ 
PMDB00285_Huperzine B</t>
  </si>
  <si>
    <t>Huperzine B</t>
  </si>
  <si>
    <t xml:space="preserve"> 
C09866</t>
  </si>
  <si>
    <t xml:space="preserve"> 
PMDB00285</t>
  </si>
  <si>
    <t>C13 H16 N6</t>
  </si>
  <si>
    <t>Secondary  Metabolites_Terpenoids_Other Terpenoids_PMDB00776_Asiatic acid</t>
  </si>
  <si>
    <t>Asiatic acid</t>
  </si>
  <si>
    <t xml:space="preserve"> 
C08617</t>
  </si>
  <si>
    <t>PMDB00776</t>
  </si>
  <si>
    <t>C25 H48 N2 O7</t>
  </si>
  <si>
    <t>Secondary  Metabolites_Alkaloids_Other Alkaloids_PMDB00438_ 
Zygadenine</t>
  </si>
  <si>
    <t xml:space="preserve"> 
Zygadenine</t>
  </si>
  <si>
    <t xml:space="preserve"> 
C10831</t>
  </si>
  <si>
    <t>PMDB00438</t>
  </si>
  <si>
    <t>Secondary  Metabolites_Alkaloids_Indole Alkaloids_PMDB00184_Calycanthidine</t>
  </si>
  <si>
    <t>Calycanthidine</t>
  </si>
  <si>
    <t>C09097</t>
  </si>
  <si>
    <t>PMDB00184</t>
  </si>
  <si>
    <t>Secondary  Metabolites_Phenolics
_Benzofurans
_ 
PMDB00533_ 
Albanol A</t>
  </si>
  <si>
    <t xml:space="preserve"> 
Albanol A</t>
  </si>
  <si>
    <t xml:space="preserve"> 
C08738</t>
  </si>
  <si>
    <t xml:space="preserve"> 
PMDB00533</t>
  </si>
  <si>
    <t>C22 H51 N4 O10 P</t>
  </si>
  <si>
    <t>Secondary  Metabolites_Phenolics
_Quinones
_PMDB00808_Chrysophanol</t>
  </si>
  <si>
    <t>Chrysophanol</t>
  </si>
  <si>
    <t xml:space="preserve"> 
C10315</t>
  </si>
  <si>
    <t>PMDB00808</t>
  </si>
  <si>
    <t>C9 H11 N4 O3 P</t>
  </si>
  <si>
    <t>Secondary  Metabolites_Phenolics
_Tannins
_PMDB00933_Gambiriin C</t>
  </si>
  <si>
    <t>Gambiriin C</t>
  </si>
  <si>
    <t xml:space="preserve"> 
C10228</t>
  </si>
  <si>
    <t>PMDB00933</t>
  </si>
  <si>
    <t>C23 H49 O9 P3</t>
  </si>
  <si>
    <t>Secondary  Metabolites_Alkaloids_Diterpenoid Alkaloids
_PMDB00117_Hetisine</t>
  </si>
  <si>
    <t>Hetisine</t>
  </si>
  <si>
    <t xml:space="preserve"> 
C08687</t>
  </si>
  <si>
    <t>PMDB00117</t>
  </si>
  <si>
    <t>C16 H23 N7 O</t>
  </si>
  <si>
    <t>Secondary  Metabolites_Terpenoids_Phytosterols_PMDB00727_Inokosterone</t>
  </si>
  <si>
    <t>Inokosterone</t>
  </si>
  <si>
    <t xml:space="preserve"> 
C08819</t>
  </si>
  <si>
    <t>PMDB00727</t>
  </si>
  <si>
    <t>C22 H40 N8 S2</t>
  </si>
  <si>
    <t>Hormones_Gibberellins
_Gibberellins
_PMDB00994_ 
Gibberellin A51</t>
  </si>
  <si>
    <t xml:space="preserve"> 
Gibberellin A51</t>
  </si>
  <si>
    <t>C11865</t>
  </si>
  <si>
    <t>PMDB00994</t>
  </si>
  <si>
    <t>C19 H28 N2 O3</t>
  </si>
  <si>
    <t>Hormones_Auxins_Auxins_PMDB01019_ 
Indole-3-butyric acid</t>
  </si>
  <si>
    <t xml:space="preserve"> 
Indole-3-butyric acid</t>
  </si>
  <si>
    <t>PMDB01019</t>
  </si>
  <si>
    <t>C8 H21 N5 O</t>
  </si>
  <si>
    <t>Secondary  Metabolites_Alkaloids_Diterpenoid Alkaloids
_PMDB00133_ 
Ovatine</t>
  </si>
  <si>
    <t xml:space="preserve"> 
Ovatine</t>
  </si>
  <si>
    <t xml:space="preserve"> 
C08703</t>
  </si>
  <si>
    <t>PMDB00133</t>
  </si>
  <si>
    <t>Secondary  Metabolites_Phenolics
_Quinones
_PMDB00822_Emodin</t>
  </si>
  <si>
    <t>Emodin</t>
  </si>
  <si>
    <t xml:space="preserve"> 
C10343</t>
  </si>
  <si>
    <t>PMDB00822</t>
  </si>
  <si>
    <t>Secondary  Metabolites_Alkaloids_Diterpenoid Alkaloids
_PMDB00140_ 
Spirasine I</t>
  </si>
  <si>
    <t xml:space="preserve"> 
Spirasine I</t>
  </si>
  <si>
    <t xml:space="preserve"> 
C08710</t>
  </si>
  <si>
    <t>PMDB00140</t>
  </si>
  <si>
    <t>Secondary  Metabolites_Terpenoids_Phytosterols_ 
PMDB00726_Fucosterol</t>
  </si>
  <si>
    <t>Fucosterol</t>
  </si>
  <si>
    <t xml:space="preserve"> 
C08817</t>
  </si>
  <si>
    <t xml:space="preserve"> 
PMDB00726</t>
  </si>
  <si>
    <t>C24 H48 N2 O3</t>
  </si>
  <si>
    <t>Secondary  Metabolites_Alkaloids_Other Alkaloids_ 
PMDB00400_Rhombifoline</t>
  </si>
  <si>
    <t>Rhombifoline</t>
  </si>
  <si>
    <t xml:space="preserve"> 
C10781</t>
  </si>
  <si>
    <t xml:space="preserve"> 
PMDB00400</t>
  </si>
  <si>
    <t>C3 H5 N10 O2 P</t>
  </si>
  <si>
    <t>Hormones_Brassinosteroids_Brassinosteroids_PMDB00943_ 
(22a)-hydroxy-campest-4-en-3-one</t>
  </si>
  <si>
    <t xml:space="preserve"> 
(22a)-hydroxy-campest-4-en-3-one</t>
  </si>
  <si>
    <t>PMDB00943</t>
  </si>
  <si>
    <t>C6 H19 Cl N8 O9 S</t>
  </si>
  <si>
    <t>Secondary  Metabolites_Alkaloids_Indole Alkaloids_PMDB00202_Epivoacorine</t>
  </si>
  <si>
    <t>Epivoacorine</t>
  </si>
  <si>
    <t xml:space="preserve"> 
C09156</t>
  </si>
  <si>
    <t>PMDB00202</t>
  </si>
  <si>
    <t>C30 H58 O15 P2</t>
  </si>
  <si>
    <t>Secondary  Metabolites_Terpenoids_Phytosterols_PMDB00720_Brassinolide</t>
  </si>
  <si>
    <t>Brassinolide</t>
  </si>
  <si>
    <t>C08814</t>
  </si>
  <si>
    <t>PMDB00720</t>
  </si>
  <si>
    <t>C18 H25 N8 O2 P S2</t>
  </si>
  <si>
    <t>Secondary  Metabolites_Alkaloids_Indole Alkaloids_PMDB00178_Brevicolline</t>
  </si>
  <si>
    <t>Brevicolline</t>
  </si>
  <si>
    <t xml:space="preserve"> 
C09083</t>
  </si>
  <si>
    <t>PMDB00178</t>
  </si>
  <si>
    <t>Secondary  Metabolites_Phenolics
_Anthocyanins
_PMDB00504_ 
Aureusidin</t>
  </si>
  <si>
    <t xml:space="preserve"> 
Aureusidin</t>
  </si>
  <si>
    <t xml:space="preserve"> 
C08576</t>
  </si>
  <si>
    <t>PMDB00504</t>
  </si>
  <si>
    <t>C7 H23 N6 O4 P</t>
  </si>
  <si>
    <t>Secondary  Metabolites_Alkaloids_Other Alkaloids_ 
PMDB00408_ 
alpha-Chaconine</t>
  </si>
  <si>
    <t xml:space="preserve"> 
alpha-Chaconine</t>
  </si>
  <si>
    <t>C10796</t>
  </si>
  <si>
    <t xml:space="preserve"> 
PMDB00408</t>
  </si>
  <si>
    <t>C40 H53 N8 O9 P S</t>
  </si>
  <si>
    <t>Secondary  Metabolites_Phenolics
_Flavones
_PMDB00609_ 
Carlinoside</t>
  </si>
  <si>
    <t xml:space="preserve"> 
Carlinoside</t>
  </si>
  <si>
    <t xml:space="preserve"> 
C10026</t>
  </si>
  <si>
    <t>PMDB00609</t>
  </si>
  <si>
    <t>C26 H44 O14</t>
  </si>
  <si>
    <t>Secondary  Metabolites_Alkaloids_Indole Alkaloids_PMDB00217_Geissospermine</t>
  </si>
  <si>
    <t>Geissospermine</t>
  </si>
  <si>
    <t xml:space="preserve">C09200
</t>
  </si>
  <si>
    <t>PMDB00217</t>
  </si>
  <si>
    <t>C21 H35 N2 O14 P3</t>
  </si>
  <si>
    <t>Secondary  Metabolites_Alkaloids_Other Alkaloids_PMDB00480_Alangicine</t>
  </si>
  <si>
    <t>Alangicine</t>
  </si>
  <si>
    <t xml:space="preserve"> 
C09327</t>
  </si>
  <si>
    <t>PMDB00480</t>
  </si>
  <si>
    <t>C19 H35 N2 O6 P3</t>
  </si>
  <si>
    <t>Secondary  Metabolites_Alkaloids_Diterpenoid Alkaloids
_PMDB00116_Heteratisine</t>
  </si>
  <si>
    <t>Heteratisine</t>
  </si>
  <si>
    <t xml:space="preserve"> 
C08686</t>
  </si>
  <si>
    <t>PMDB00116</t>
  </si>
  <si>
    <t>Secondary  Metabolites_Alkaloids_Other Alkaloids_ 
PMDB00389_ 
Camoensine</t>
  </si>
  <si>
    <t xml:space="preserve"> 
Camoensine</t>
  </si>
  <si>
    <t xml:space="preserve"> 
C10758</t>
  </si>
  <si>
    <t xml:space="preserve"> 
PMDB00389</t>
  </si>
  <si>
    <t>Secondary  Metabolites_Alkaloids_Other Alkaloids_ 
PMDB00385_Argyrolobine</t>
  </si>
  <si>
    <t>Argyrolobine</t>
  </si>
  <si>
    <t xml:space="preserve"> 
C10754</t>
  </si>
  <si>
    <t xml:space="preserve"> 
PMDB00385</t>
  </si>
  <si>
    <t>Secondary  Metabolites_Alkaloids_Diterpenoid Alkaloids
_PMDB00137_Songorine</t>
  </si>
  <si>
    <t>Songorine</t>
  </si>
  <si>
    <t xml:space="preserve"> 
C08707</t>
  </si>
  <si>
    <t>PMDB00137</t>
  </si>
  <si>
    <t>C11 H31 N7 O6</t>
  </si>
  <si>
    <t>Hormones_Gibberellins
_Gibberellins
_PMDB00990_ 
GA43</t>
  </si>
  <si>
    <t xml:space="preserve"> 
GA43</t>
  </si>
  <si>
    <t>PMDB00990</t>
  </si>
  <si>
    <t>C17 H18 N2 O7 S</t>
  </si>
  <si>
    <t>Secondary  Metabolites_Phenolics
_Anthocyanins
_PMDB00510_ 
Cyanidin</t>
  </si>
  <si>
    <t xml:space="preserve"> 
Cyanidin</t>
  </si>
  <si>
    <t xml:space="preserve"> 
C05905</t>
  </si>
  <si>
    <t>PMDB00510</t>
  </si>
  <si>
    <t>C13 H17 N7 O</t>
  </si>
  <si>
    <t>Secondary  Metabolites_Phenolics
_Isoflavonoids
_PMDB00911_ 
Sumatrol</t>
  </si>
  <si>
    <t xml:space="preserve"> 
Sumatrol</t>
  </si>
  <si>
    <t xml:space="preserve"> 
C10532</t>
  </si>
  <si>
    <t>PMDB00911</t>
  </si>
  <si>
    <t>C19 H42 N2 O3 S2</t>
  </si>
  <si>
    <t>Hormones_Brassinosteroids_Brassinosteroids_PMDB00956_campest-4-en-3-one</t>
  </si>
  <si>
    <t>campest-4-en-3-one</t>
  </si>
  <si>
    <t xml:space="preserve"> 
C15785</t>
  </si>
  <si>
    <t>PMDB00956</t>
  </si>
  <si>
    <t>C12 H35 N10 O3 P</t>
  </si>
  <si>
    <t>Secondary  Metabolites_Terpenoids_Other Terpenoids_PMDB00788_Squalene</t>
  </si>
  <si>
    <t>Squalene</t>
  </si>
  <si>
    <t xml:space="preserve"> 
C00751</t>
  </si>
  <si>
    <t>PMDB00788</t>
  </si>
  <si>
    <t>C24 H46 N2 O3</t>
  </si>
  <si>
    <t>Secondary  Metabolites_Terpenoids_Phytosterols_PMDB00730_Lichesterol</t>
  </si>
  <si>
    <t>Lichesterol</t>
  </si>
  <si>
    <t xml:space="preserve"> 
C08823</t>
  </si>
  <si>
    <t>PMDB00730</t>
  </si>
  <si>
    <t>C24 H48 N2 O2</t>
  </si>
  <si>
    <t>Secondary  Metabolites_Phenolics
_Quinones
_PMDB00796_ 
Altersolanol A</t>
  </si>
  <si>
    <t xml:space="preserve"> 
Altersolanol A</t>
  </si>
  <si>
    <t xml:space="preserve"> 
C10296</t>
  </si>
  <si>
    <t>PMDB00796</t>
  </si>
  <si>
    <t>C17 H26 N2 O P2</t>
  </si>
  <si>
    <t>Secondary  Metabolites_Terpenoids_Steroid Saponins_PMDB00711_ 
Ruscoside</t>
  </si>
  <si>
    <t xml:space="preserve"> 
Ruscoside</t>
  </si>
  <si>
    <t xml:space="preserve"> 
C08910</t>
  </si>
  <si>
    <t>PMDB00711</t>
  </si>
  <si>
    <t>Secondary  Metabolites_Terpenoids_Other Terpenoids_PMDB00774_alpha-Amyrin</t>
  </si>
  <si>
    <t>alpha-Amyrin</t>
  </si>
  <si>
    <t xml:space="preserve"> 
C08615</t>
  </si>
  <si>
    <t>PMDB00774</t>
  </si>
  <si>
    <t>Secondary  Metabolites_Phenolics
_Minor Flavonoids_PMDB00556_Auriculoside</t>
  </si>
  <si>
    <t>Auriculoside</t>
  </si>
  <si>
    <t xml:space="preserve"> 
C09478</t>
  </si>
  <si>
    <t>PMDB00556</t>
  </si>
  <si>
    <t>C23 H47 O6 P</t>
  </si>
  <si>
    <t>Secondary  Metabolites_Alkaloids_Other Alkaloids_PMDB00447_Benzoyltropein</t>
  </si>
  <si>
    <t>Benzoyltropein</t>
  </si>
  <si>
    <t xml:space="preserve"> 
C11381</t>
  </si>
  <si>
    <t>PMDB00447</t>
  </si>
  <si>
    <t>C8 H12 N3 O4 P</t>
  </si>
  <si>
    <t>Secondary  Metabolites_Alkaloids_Indole Alkaloids_PMDB00234_Mesembrenone</t>
  </si>
  <si>
    <t>Mesembrenone</t>
  </si>
  <si>
    <t xml:space="preserve"> 
C09223</t>
  </si>
  <si>
    <t>PMDB00234</t>
  </si>
  <si>
    <t>Secondary  Metabolites_Alkaloids_Indole Alkaloids_PMDB00186_Caracurine V</t>
  </si>
  <si>
    <t>Caracurine V</t>
  </si>
  <si>
    <t xml:space="preserve"> 
C09100</t>
  </si>
  <si>
    <t>PMDB00186</t>
  </si>
  <si>
    <t>Hormones_Brassinosteroids_Brassinosteroids_PMDB00960_Castasterone</t>
  </si>
  <si>
    <t>Castasterone</t>
  </si>
  <si>
    <t>C15794</t>
  </si>
  <si>
    <t>PMDB00960</t>
  </si>
  <si>
    <t>C27 H28 O7</t>
  </si>
  <si>
    <t>Secondary  Metabolites_Alkaloids_Indole Alkaloids_PMDB00273_Vobtusine</t>
  </si>
  <si>
    <t>Vobtusine</t>
  </si>
  <si>
    <t xml:space="preserve"> 
C09254</t>
  </si>
  <si>
    <t>PMDB00273</t>
  </si>
  <si>
    <t>C38 H71 O10 P</t>
  </si>
  <si>
    <t>Secondary  Metabolites_Others_Others_PMDB00046_Hippeastrine</t>
  </si>
  <si>
    <t>Hippeastrine</t>
  </si>
  <si>
    <t xml:space="preserve"> 
C08528</t>
  </si>
  <si>
    <t>PMDB00046</t>
  </si>
  <si>
    <t>Secondary  Metabolites_Alkaloids_Indole Alkaloids_ 
PMDB00252_ 
Rutecarpine</t>
  </si>
  <si>
    <t xml:space="preserve"> 
Rutecarpine</t>
  </si>
  <si>
    <t xml:space="preserve"> 
C09238</t>
  </si>
  <si>
    <t xml:space="preserve"> 
PMDB00252</t>
  </si>
  <si>
    <t>C5 H14 Cl N7 O5</t>
  </si>
  <si>
    <t>Secondary  Metabolites_Phenolics
_Tannins
_PMDB00927_Chebulinic acid</t>
  </si>
  <si>
    <t>Chebulinic acid</t>
  </si>
  <si>
    <t>C10215</t>
  </si>
  <si>
    <t>PMDB00927</t>
  </si>
  <si>
    <t>C52 H93 O13 P</t>
  </si>
  <si>
    <t>Secondary  Metabolites_Alkaloids_Other Alkaloids_PMDB00396
_Ormosanine</t>
  </si>
  <si>
    <t>Ormosanine</t>
  </si>
  <si>
    <t xml:space="preserve">PMDB00396
</t>
  </si>
  <si>
    <t>Secondary  Metabolites_Phenolics
_Quinones
_PMDB00849_ 
Rubiadin</t>
  </si>
  <si>
    <t xml:space="preserve"> 
Rubiadin</t>
  </si>
  <si>
    <t xml:space="preserve"> 
C10402</t>
  </si>
  <si>
    <t>PMDB00849</t>
  </si>
  <si>
    <t>C17 H18 S</t>
  </si>
  <si>
    <t>Secondary  Metabolites_Phenolics
_Anthocyanins
_PMDB00502_Apigeninidin</t>
  </si>
  <si>
    <t>Apigeninidin</t>
  </si>
  <si>
    <t xml:space="preserve"> 
C08574</t>
  </si>
  <si>
    <t>PMDB00502</t>
  </si>
  <si>
    <t>Secondary  Metabolites_Alkaloids_Other Alkaloids_ 
PMDB00410_Cyclobuxine D</t>
  </si>
  <si>
    <t>Cyclobuxine D</t>
  </si>
  <si>
    <t xml:space="preserve"> 
C10797</t>
  </si>
  <si>
    <t xml:space="preserve"> 
PMDB00410</t>
  </si>
  <si>
    <t>C16 H14 N6 O6</t>
  </si>
  <si>
    <t>Hormones_Abscisic acid
_Abscisic acid
_PMDB01015_Abscisic acid</t>
  </si>
  <si>
    <t>Abscisic acid</t>
  </si>
  <si>
    <t xml:space="preserve"> 
C06082</t>
  </si>
  <si>
    <t>PMDB01015</t>
  </si>
  <si>
    <t>C11 H16 N6 O2</t>
  </si>
  <si>
    <t>Secondary  Metabolites_Phenolics
_Isoflavonoids
_PMDB00873_Hispaglabridin A</t>
  </si>
  <si>
    <t>Hispaglabridin A</t>
  </si>
  <si>
    <t xml:space="preserve"> 
C10425</t>
  </si>
  <si>
    <t>PMDB00873</t>
  </si>
  <si>
    <t>C23 H40 N2 O3</t>
  </si>
  <si>
    <t>Secondary  Metabolites_Alkaloids_Other Alkaloids_PMDB00403_Templetine</t>
  </si>
  <si>
    <t>Templetine</t>
  </si>
  <si>
    <t>C10786</t>
  </si>
  <si>
    <t>PMDB00403</t>
  </si>
  <si>
    <t>C6 H16 Cl N7 O6</t>
  </si>
  <si>
    <t>Secondary  Metabolites_Alkaloids_Other Alkaloids_PMDB00312_Chaksine</t>
  </si>
  <si>
    <t>Chaksine</t>
  </si>
  <si>
    <t xml:space="preserve"> 
C09940</t>
  </si>
  <si>
    <t>PMDB00312</t>
  </si>
  <si>
    <t>C7 H19 Br N10 O8</t>
  </si>
  <si>
    <t>Secondary  Metabolites_Phenolics
_Tannins
_PMDB00936_Isoterchebin</t>
  </si>
  <si>
    <t>Isoterchebin</t>
  </si>
  <si>
    <t xml:space="preserve"> 
C10232</t>
  </si>
  <si>
    <t>PMDB00936</t>
  </si>
  <si>
    <t>Secondary  Metabolites_Phenolics
_Quinones
_PMDB00800_Arnebinone</t>
  </si>
  <si>
    <t>Arnebinone</t>
  </si>
  <si>
    <t xml:space="preserve"> 
C10302</t>
  </si>
  <si>
    <t>PMDB00800</t>
  </si>
  <si>
    <t>C15 H22 N6 O</t>
  </si>
  <si>
    <t>Secondary  Metabolites_Alkaloids_Other Alkaloids_PMDB00421_Paravallarine</t>
  </si>
  <si>
    <t>Paravallarine</t>
  </si>
  <si>
    <t xml:space="preserve"> 
C10814</t>
  </si>
  <si>
    <t>PMDB00421</t>
  </si>
  <si>
    <t>C17 H33 N3 O4</t>
  </si>
  <si>
    <t>Secondary  Metabolites_Alkaloids_Indole Alkaloids_PMDB00183_Calligonine</t>
  </si>
  <si>
    <t>Calligonine</t>
  </si>
  <si>
    <t xml:space="preserve"> 
C09089</t>
  </si>
  <si>
    <t>PMDB00183</t>
  </si>
  <si>
    <t>Secondary  Metabolites_Alkaloids_Acridone Alkaloids_PMDB00369_ 
Buntanine</t>
  </si>
  <si>
    <t xml:space="preserve"> 
Buntanine</t>
  </si>
  <si>
    <t xml:space="preserve"> 
C10653</t>
  </si>
  <si>
    <t>PMDB00369</t>
  </si>
  <si>
    <t>C13 H25 N9 O3</t>
  </si>
  <si>
    <t xml:space="preserve">Secondary  Metabolites_Alkaloids_Betalain Alkaloids_PMDB00059_Bougainvillein-r-I
</t>
  </si>
  <si>
    <t xml:space="preserve">Bougainvillein-r-I
</t>
  </si>
  <si>
    <t xml:space="preserve"> 
C08541   </t>
  </si>
  <si>
    <t>PMDB00059</t>
  </si>
  <si>
    <t>C36 H65 N4 O8 P</t>
  </si>
  <si>
    <t>Secondary  Metabolites_Terpenoids_Triterpenoid Saponins_PMDB00668_Aridanin</t>
  </si>
  <si>
    <t>Aridanin</t>
  </si>
  <si>
    <t xml:space="preserve"> 
C08922</t>
  </si>
  <si>
    <t>PMDB00668</t>
  </si>
  <si>
    <t>C36 H70 N O7 P</t>
  </si>
  <si>
    <t>Secondary  Metabolites_Alkaloids_Indole Alkaloids_PMDB00185_Canthin-6-one</t>
  </si>
  <si>
    <t>Canthin-6-one</t>
  </si>
  <si>
    <t xml:space="preserve"> 
C09098</t>
  </si>
  <si>
    <t>PMDB00185</t>
  </si>
  <si>
    <t>Hormones_Gibberellins
_Gibberellins
_PMDB00980_ 
gibberellin 28</t>
  </si>
  <si>
    <t xml:space="preserve"> 
gibberellin 28</t>
  </si>
  <si>
    <t>PMDB00980</t>
  </si>
  <si>
    <t>Secondary  Metabolites_Alkaloids_Betalain Alkaloids_ 
PMDB00077_Portulacaxanthin I</t>
  </si>
  <si>
    <t>Portulacaxanthin I</t>
  </si>
  <si>
    <t>C08564</t>
  </si>
  <si>
    <t xml:space="preserve"> 
PMDB00077</t>
  </si>
  <si>
    <t>C8 H22 N8 O2 P2</t>
  </si>
  <si>
    <t>Hormones_Gibberellins
_Gibberellins
_PMDB00968_ 
Gibberellin A12 aldehyde</t>
  </si>
  <si>
    <t xml:space="preserve"> 
Gibberellin A12 aldehyde</t>
  </si>
  <si>
    <t xml:space="preserve"> 
C06093</t>
  </si>
  <si>
    <t>PMDB00968</t>
  </si>
  <si>
    <t>C18 H36 O4</t>
  </si>
  <si>
    <t>Secondary  Metabolites_Phenolics
_Benzofurans
_PMDB00537_Griseofulvin</t>
  </si>
  <si>
    <t>Griseofulvin</t>
  </si>
  <si>
    <t xml:space="preserve"> 
C06686</t>
  </si>
  <si>
    <t>PMDB00537</t>
  </si>
  <si>
    <t>C17 H34 N6 O2</t>
  </si>
  <si>
    <t>Secondary  Metabolites_Alkaloids_Other Alkaloids_PMDB00412_Cycloprotobuxine C</t>
  </si>
  <si>
    <t>Cycloprotobuxine C</t>
  </si>
  <si>
    <t xml:space="preserve"> 
C10799</t>
  </si>
  <si>
    <t>PMDB00412</t>
  </si>
  <si>
    <t>C26 H40 O S</t>
  </si>
  <si>
    <t>Secondary  Metabolites_Terpenoids_Phytosterols_PMDB00723_Cycloartenol</t>
  </si>
  <si>
    <t>Cycloartenol</t>
  </si>
  <si>
    <t xml:space="preserve"> 
C01902</t>
  </si>
  <si>
    <t>PMDB00723</t>
  </si>
  <si>
    <t>Secondary  Metabolites_Terpenoids_Steroid Saponins_PMDB00699_Digitogenin</t>
  </si>
  <si>
    <t>Digitogenin</t>
  </si>
  <si>
    <t xml:space="preserve"> 
C08896</t>
  </si>
  <si>
    <t>PMDB00699</t>
  </si>
  <si>
    <t>C21 H32 N6 O5</t>
  </si>
  <si>
    <t>Secondary  Metabolites_Alkaloids_Quinazoline Alkaloids_ 
PMDB00361_Peganine</t>
  </si>
  <si>
    <t>Peganine</t>
  </si>
  <si>
    <t xml:space="preserve"> 
C10733</t>
  </si>
  <si>
    <t xml:space="preserve"> 
PMDB00361</t>
  </si>
  <si>
    <t>Secondary  Metabolites_Phenolics
_Isoflavonoids
_PMDB00854_Betavulgarin</t>
  </si>
  <si>
    <t>Betavulgarin</t>
  </si>
  <si>
    <t xml:space="preserve"> 
C10201</t>
  </si>
  <si>
    <t>PMDB00854</t>
  </si>
  <si>
    <t>C7 H13 N4 O8 P</t>
  </si>
  <si>
    <t>Secondary  Metabolites_Others_Others_PMDB00005_Glucuronic acid</t>
  </si>
  <si>
    <t>Glucuronic acid</t>
  </si>
  <si>
    <t xml:space="preserve"> 
C16245</t>
  </si>
  <si>
    <t>PMDB00005</t>
  </si>
  <si>
    <t>C7 H17 P3</t>
  </si>
  <si>
    <t>Secondary  Metabolites_Others_Others_PMDB00047_ 
Kalbreclasine</t>
  </si>
  <si>
    <t xml:space="preserve"> 
Kalbreclasine</t>
  </si>
  <si>
    <t xml:space="preserve"> 
C08529</t>
  </si>
  <si>
    <t>PMDB00047</t>
  </si>
  <si>
    <t>C24 H45 N3 O2 P2</t>
  </si>
  <si>
    <t>Secondary  Metabolites_Alkaloids_Indole Alkaloids_PMDB00151_ 
Agroclavine</t>
  </si>
  <si>
    <t xml:space="preserve"> 
Agroclavine</t>
  </si>
  <si>
    <t xml:space="preserve"> 
C09023</t>
  </si>
  <si>
    <t>PMDB00151</t>
  </si>
  <si>
    <t>Secondary  Metabolites_Terpenoids_Steroid Saponins_PMDB00703_Gitogenin</t>
  </si>
  <si>
    <t>Gitogenin</t>
  </si>
  <si>
    <t xml:space="preserve"> 
C08899</t>
  </si>
  <si>
    <t>PMDB00703</t>
  </si>
  <si>
    <t>Hormones_Gibberellins
_Gibberellins
_PMDB00991_Gibberellin A44</t>
  </si>
  <si>
    <t>Gibberellin A44</t>
  </si>
  <si>
    <t>C12308</t>
  </si>
  <si>
    <t>PMDB00991</t>
  </si>
  <si>
    <t>C14 H27 Cl N6 O2</t>
  </si>
  <si>
    <t>Secondary  Metabolites_Phenolics
_Isoflavonoids
_PMDB00914_ 
Tephrosin</t>
  </si>
  <si>
    <t xml:space="preserve"> 
Tephrosin</t>
  </si>
  <si>
    <t xml:space="preserve"> 
C10535</t>
  </si>
  <si>
    <t>PMDB00914</t>
  </si>
  <si>
    <t>C19 H34 N6 O4</t>
  </si>
  <si>
    <t>Secondary  Metabolites_Phenolics
_Tannins
_PMDB00931_Eugeniin</t>
  </si>
  <si>
    <t>Eugeniin</t>
  </si>
  <si>
    <t xml:space="preserve"> 
C10224</t>
  </si>
  <si>
    <t>PMDB00931</t>
  </si>
  <si>
    <t>Secondary  Metabolites_Alkaloids_Other Alkaloids_PMDB00481_Alangimarckine</t>
  </si>
  <si>
    <t>Alangimarckine</t>
  </si>
  <si>
    <t xml:space="preserve"> 
C09328</t>
  </si>
  <si>
    <t>PMDB00481</t>
  </si>
  <si>
    <t>C26 H37 N O7</t>
  </si>
  <si>
    <t>Hormones_Brassinosteroids_Brassinosteroids_PMDB00955_6-Oxocampestanol</t>
  </si>
  <si>
    <t>6-Oxocampestanol</t>
  </si>
  <si>
    <t xml:space="preserve"> 
C15789</t>
  </si>
  <si>
    <t>PMDB00955</t>
  </si>
  <si>
    <t>C22 H43 O P3</t>
  </si>
  <si>
    <t>Secondary  Metabolites_Phenolics
_Minor Flavonoids_PMDB00586_Neoeriocitrin</t>
  </si>
  <si>
    <t>Neoeriocitrin</t>
  </si>
  <si>
    <t xml:space="preserve"> 
C09805</t>
  </si>
  <si>
    <t>PMDB00586</t>
  </si>
  <si>
    <t>C20 H37 O18 P</t>
  </si>
  <si>
    <t>Hormones_Brassinosteroids_Brassinosteroids_PMDB00954_ 
6-Deoxotyphasterol</t>
  </si>
  <si>
    <t xml:space="preserve"> 
6-Deoxotyphasterol</t>
  </si>
  <si>
    <t xml:space="preserve"> 
C15801</t>
  </si>
  <si>
    <t>PMDB00954</t>
  </si>
  <si>
    <t>C12 H15 Cl N8 O4 S2</t>
  </si>
  <si>
    <t>Secondary  Metabolites_Alkaloids_Indole Alkaloids_PMDB00264_ 
Tubulosine</t>
  </si>
  <si>
    <t xml:space="preserve"> 
Tubulosine</t>
  </si>
  <si>
    <t xml:space="preserve"> 
C09248</t>
  </si>
  <si>
    <t>PMDB00264</t>
  </si>
  <si>
    <t>Secondary  Metabolites_Phenolics
_Isoflavonoids
_PMDB00860_Cristacarpin</t>
  </si>
  <si>
    <t>Cristacarpin</t>
  </si>
  <si>
    <t xml:space="preserve"> 
C10206</t>
  </si>
  <si>
    <t>PMDB00860</t>
  </si>
  <si>
    <t>Secondary  Metabolites_Alkaloids_Indole Alkaloids_PMDB00235_Mesembrine</t>
  </si>
  <si>
    <t>Mesembrine</t>
  </si>
  <si>
    <t xml:space="preserve"> 
C09224</t>
  </si>
  <si>
    <t>PMDB00235</t>
  </si>
  <si>
    <t>Secondary  Metabolites_Phenolics
_Flavones
_PMDB00604_ 
Apigenin</t>
  </si>
  <si>
    <t xml:space="preserve"> 
Apigenin</t>
  </si>
  <si>
    <t xml:space="preserve"> 
C01477</t>
  </si>
  <si>
    <t>PMDB00604</t>
  </si>
  <si>
    <t>C6 H19 N6 O4 P</t>
  </si>
  <si>
    <t>Secondary  Metabolites_Phenolics
_Flavones
_PMDB00608_Baicalin</t>
  </si>
  <si>
    <t>Baicalin</t>
  </si>
  <si>
    <t xml:space="preserve"> 
C10025</t>
  </si>
  <si>
    <t>PMDB00608</t>
  </si>
  <si>
    <t>C30 H30 N4</t>
  </si>
  <si>
    <t>Secondary  Metabolites_Phenolics
_Isoflavonoids
_PMDB00901_ 
Prunetin</t>
  </si>
  <si>
    <t xml:space="preserve"> 
Prunetin</t>
  </si>
  <si>
    <t xml:space="preserve"> 
C10521</t>
  </si>
  <si>
    <t>PMDB00901</t>
  </si>
  <si>
    <t>C13 H25 N4 O P</t>
  </si>
  <si>
    <t>Secondary  Metabolites_Phenolics
_Minor Flavonoids_ 
PMDB00560_ 
Butin</t>
  </si>
  <si>
    <t xml:space="preserve"> 
Butin</t>
  </si>
  <si>
    <t xml:space="preserve"> 
C09614</t>
  </si>
  <si>
    <t xml:space="preserve"> 
PMDB00560</t>
  </si>
  <si>
    <t>Secondary  Metabolites_Alkaloids_Quinazoline Alkaloids_PMDB00362_Tryptanthrine</t>
  </si>
  <si>
    <t>Tryptanthrine</t>
  </si>
  <si>
    <t xml:space="preserve"> 
C10742</t>
  </si>
  <si>
    <t>PMDB00362</t>
  </si>
  <si>
    <t>Secondary  Metabolites_Alkaloids_Other Alkaloids_ 
PMDB00406_Tsukushinamine A</t>
  </si>
  <si>
    <t>Tsukushinamine A</t>
  </si>
  <si>
    <t xml:space="preserve"> 
C10791</t>
  </si>
  <si>
    <t xml:space="preserve"> 
PMDB00406</t>
  </si>
  <si>
    <t>Secondary  Metabolites_Alkaloids_Diterpenoid Alkaloids
_PMDB00144_Thalicsessine</t>
  </si>
  <si>
    <t>Thalicsessine</t>
  </si>
  <si>
    <t xml:space="preserve"> 
C08714</t>
  </si>
  <si>
    <t>PMDB00144</t>
  </si>
  <si>
    <t xml:space="preserve">Secondary  Metabolites_Alkaloids_Diterpenoid Alkaloids
_PMDB00104
_Delavaine A
</t>
  </si>
  <si>
    <t xml:space="preserve">Delavaine A
</t>
  </si>
  <si>
    <t>C08674</t>
  </si>
  <si>
    <t xml:space="preserve">PMDB00104
</t>
  </si>
  <si>
    <t>C32 H58 Cl O9 P3</t>
  </si>
  <si>
    <t>Hormones_Brassinosteroids_Brassinosteroids_PMDB00952_6-Deoxocathasterone</t>
  </si>
  <si>
    <t>6-Deoxocathasterone</t>
  </si>
  <si>
    <t xml:space="preserve"> 
C15798</t>
  </si>
  <si>
    <t>PMDB00952</t>
  </si>
  <si>
    <t>Secondary  Metabolites_Alkaloids_Indole Alkaloids_PMDB00201_Elymoclavine</t>
  </si>
  <si>
    <t>Elymoclavine</t>
  </si>
  <si>
    <t xml:space="preserve"> 
C06068</t>
  </si>
  <si>
    <t>PMDB00201</t>
  </si>
  <si>
    <t>C12 H26 N6</t>
  </si>
  <si>
    <t>Secondary  Metabolites_Alkaloids_Other Alkaloids_ 
PMDB00319_ 
Gentianamine</t>
  </si>
  <si>
    <t xml:space="preserve"> 
Gentianamine</t>
  </si>
  <si>
    <t xml:space="preserve"> 
C09961</t>
  </si>
  <si>
    <t xml:space="preserve"> 
PMDB00319</t>
  </si>
  <si>
    <t>C5 H16 N7 P</t>
  </si>
  <si>
    <t>Secondary  Metabolites_Alkaloids_Indole Alkaloids_PMDB00216_Geissoschizoline</t>
  </si>
  <si>
    <t>Geissoschizoline</t>
  </si>
  <si>
    <t xml:space="preserve"> 
C09197</t>
  </si>
  <si>
    <t>PMDB00216</t>
  </si>
  <si>
    <t>C15 H31 N4 P</t>
  </si>
  <si>
    <t xml:space="preserve">Secondary  Metabolites_Alkaloids_Peptide Alkaloids_PMDB00348_Sativanine B
</t>
  </si>
  <si>
    <t xml:space="preserve">Sativanine B
</t>
  </si>
  <si>
    <t xml:space="preserve"> 
C10013</t>
  </si>
  <si>
    <t>PMDB00348</t>
  </si>
  <si>
    <t>C29 H42 O8</t>
  </si>
  <si>
    <t>Secondary  Metabolites_Terpenoids_Carotenoids_PMDB00750_Capsorubin</t>
  </si>
  <si>
    <t>Capsorubin</t>
  </si>
  <si>
    <t xml:space="preserve"> 
C08585</t>
  </si>
  <si>
    <t>PMDB00750</t>
  </si>
  <si>
    <t>C21 H45 O17 P</t>
  </si>
  <si>
    <t>Secondary  Metabolites_Others_Others_PMDB00019_Abruslactone</t>
  </si>
  <si>
    <t>Abruslactone</t>
  </si>
  <si>
    <t>PMDB00019</t>
  </si>
  <si>
    <t>C19 H47 N6 O4 P</t>
  </si>
  <si>
    <t>Secondary  Metabolites_Terpenoids_Triterpenoid Saponins_PMDB00687_Saikosaponin A</t>
  </si>
  <si>
    <t>Saikosaponin A</t>
  </si>
  <si>
    <t xml:space="preserve"> 
C08975</t>
  </si>
  <si>
    <t>PMDB00687</t>
  </si>
  <si>
    <t>C29 H66 Cl N10 O2 P S4</t>
  </si>
  <si>
    <t>Secondary  Metabolites_Phenolics
_Anthocyanins
_PMDB00515_ 
6-Hydroxycyanidin</t>
  </si>
  <si>
    <t xml:space="preserve"> 
6-Hydroxycyanidin</t>
  </si>
  <si>
    <t xml:space="preserve"> 
C08646</t>
  </si>
  <si>
    <t>PMDB00515</t>
  </si>
  <si>
    <t>C8 H15 Cl N O7 P</t>
  </si>
  <si>
    <t>Secondary  Metabolites_Phenolics
_Flavones
_PMDB00615_Eupatilin</t>
  </si>
  <si>
    <t>Eupatilin</t>
  </si>
  <si>
    <t xml:space="preserve"> 
C10040</t>
  </si>
  <si>
    <t>PMDB00615</t>
  </si>
  <si>
    <t>C13 H24 N6 O S2</t>
  </si>
  <si>
    <t>Secondary  Metabolites_Phenolics
_Minor Flavonoids_PMDB00588_Odoratol</t>
  </si>
  <si>
    <t>Odoratol</t>
  </si>
  <si>
    <t xml:space="preserve"> 
C09807</t>
  </si>
  <si>
    <t>PMDB00588</t>
  </si>
  <si>
    <t>C16 H26 N6</t>
  </si>
  <si>
    <t>Secondary  Metabolites_Phenolics
_Flavones
_PMDB00611_Cirsiliol</t>
  </si>
  <si>
    <t>Cirsiliol</t>
  </si>
  <si>
    <t xml:space="preserve"> 
C10033</t>
  </si>
  <si>
    <t>PMDB00611</t>
  </si>
  <si>
    <t>C14 H27 N4 O P S</t>
  </si>
  <si>
    <t>Secondary  Metabolites_Alkaloids_Indole Alkaloids_PMDB00238_Mitraphylline</t>
  </si>
  <si>
    <t>Mitraphylline</t>
  </si>
  <si>
    <t xml:space="preserve"> 
C09227</t>
  </si>
  <si>
    <t>PMDB00238</t>
  </si>
  <si>
    <t>C7 H22 N4 O9 P2</t>
  </si>
  <si>
    <t>Secondary  Metabolites_Alkaloids_Other Alkaloids_PMDB00426_Solamargine</t>
  </si>
  <si>
    <t>Solamargine</t>
  </si>
  <si>
    <t xml:space="preserve"> 
C10819</t>
  </si>
  <si>
    <t>PMDB00426</t>
  </si>
  <si>
    <t>C38 H76 N7 O9 P3</t>
  </si>
  <si>
    <t>Secondary  Metabolites_Alkaloids_Other Alkaloids_PMDB00448_Brugine</t>
  </si>
  <si>
    <t>Brugine</t>
  </si>
  <si>
    <t xml:space="preserve"> 
C10849</t>
  </si>
  <si>
    <t>PMDB00448</t>
  </si>
  <si>
    <t>C11 H16 N O3 P S</t>
  </si>
  <si>
    <t>Secondary  Metabolites_Others_Others_PMDB00021_galactose</t>
  </si>
  <si>
    <t>galactose</t>
  </si>
  <si>
    <t xml:space="preserve"> 
C00124</t>
  </si>
  <si>
    <t>PMDB00021</t>
  </si>
  <si>
    <t>Secondary  Metabolites_Alkaloids_Other Alkaloids_PMDB00323_Rhexifoline</t>
  </si>
  <si>
    <t>Rhexifoline</t>
  </si>
  <si>
    <t xml:space="preserve"> 
C09986</t>
  </si>
  <si>
    <t>PMDB00323</t>
  </si>
  <si>
    <t>Secondary  Metabolites_Alkaloids_Other Alkaloids_ 
PMDB00283_Fawcettimine</t>
  </si>
  <si>
    <t>Fawcettimine</t>
  </si>
  <si>
    <t>C09864</t>
  </si>
  <si>
    <t xml:space="preserve"> 
PMDB00283</t>
  </si>
  <si>
    <t>C7 H17 N7 O4</t>
  </si>
  <si>
    <t>Secondary  Metabolites_Phenolics
_Quinones
_PMDB00830_Kigelinone</t>
  </si>
  <si>
    <t>Kigelinone</t>
  </si>
  <si>
    <t>C10362</t>
  </si>
  <si>
    <t>PMDB00830</t>
  </si>
  <si>
    <t>C13 H18 N6</t>
  </si>
  <si>
    <t>Secondary  Metabolites_Alkaloids_Indole Alkaloids_PMDB00245_Psychotridine</t>
  </si>
  <si>
    <t>Psychotridine</t>
  </si>
  <si>
    <t xml:space="preserve"> 
C09233</t>
  </si>
  <si>
    <t>PMDB00245</t>
  </si>
  <si>
    <t>C38 H73 Cl N9 O5 P3</t>
  </si>
  <si>
    <t>Secondary  Metabolites_Alkaloids_Peptide Alkaloids_PMDB00331_Americine</t>
  </si>
  <si>
    <t>Americine</t>
  </si>
  <si>
    <t xml:space="preserve"> 
C09996</t>
  </si>
  <si>
    <t>PMDB00331</t>
  </si>
  <si>
    <t>Secondary  Metabolites_Phenolics
_Quinones
_PMDB00850_Phylloquinone</t>
  </si>
  <si>
    <t>Phylloquinone</t>
  </si>
  <si>
    <t xml:space="preserve"> 
C02059</t>
  </si>
  <si>
    <t>PMDB00850</t>
  </si>
  <si>
    <t>C3 H2 N9 O16 P</t>
  </si>
  <si>
    <t>Secondary  Metabolites_Terpenoids_Steroid Saponins_PMDB00708
_ 
Parillin</t>
  </si>
  <si>
    <t xml:space="preserve"> 
Parillin</t>
  </si>
  <si>
    <t xml:space="preserve"> 
C08906</t>
  </si>
  <si>
    <t xml:space="preserve">PMDB00708
</t>
  </si>
  <si>
    <t>C49 H98 N2 O17 P2</t>
  </si>
  <si>
    <t>Secondary  Metabolites_Others_Others_PMDB00020_Gallic acid</t>
  </si>
  <si>
    <t>Gallic acid</t>
  </si>
  <si>
    <t xml:space="preserve"> 
C01424</t>
  </si>
  <si>
    <t>PMDB00020</t>
  </si>
  <si>
    <t>C6 H14 N6</t>
  </si>
  <si>
    <t>Secondary  Metabolites_Terpenoids_Triterpenoid Saponins_PMDB00666_ 
Abrusoside A</t>
  </si>
  <si>
    <t xml:space="preserve"> 
Abrusoside A</t>
  </si>
  <si>
    <t xml:space="preserve"> 
C08920</t>
  </si>
  <si>
    <t>PMDB00666</t>
  </si>
  <si>
    <t>C39 H58 N4 O4</t>
  </si>
  <si>
    <t>Secondary  Metabolites_Alkaloids_Indole Alkaloids_PMDB00226_Hypaphorine</t>
  </si>
  <si>
    <t>Hypaphorine</t>
  </si>
  <si>
    <t>C09213</t>
  </si>
  <si>
    <t>PMDB00226</t>
  </si>
  <si>
    <t>C6 H18 N10 O</t>
  </si>
  <si>
    <t>Secondary  Metabolites_Phenolics
_Benzofurans
_PMDB00550_Vignafuran</t>
  </si>
  <si>
    <t>Vignafuran</t>
  </si>
  <si>
    <t xml:space="preserve"> 
C08993</t>
  </si>
  <si>
    <t>PMDB00550</t>
  </si>
  <si>
    <t>[M+K]+1</t>
  </si>
  <si>
    <t>C7 H22 N6 O5</t>
  </si>
  <si>
    <t>Hormones_Auxins_Auxins_PMDB01018_Indole-3-acetate</t>
  </si>
  <si>
    <t>Indole-3-acetate</t>
  </si>
  <si>
    <t xml:space="preserve"> 
C00954</t>
  </si>
  <si>
    <t>PMDB01018</t>
  </si>
  <si>
    <t>Secondary  Metabolites_Terpenoids_Diterpenoids_PMDB00621_Baliospermin</t>
  </si>
  <si>
    <t>Baliospermin</t>
  </si>
  <si>
    <t xml:space="preserve"> 
C09065</t>
  </si>
  <si>
    <t>PMDB00621</t>
  </si>
  <si>
    <t>C40 H50 O2</t>
  </si>
  <si>
    <t>Secondary  Metabolites_Alkaloids_Indole Alkaloids_PMDB00240_Ochrolifuanine A</t>
  </si>
  <si>
    <t>Ochrolifuanine A</t>
  </si>
  <si>
    <t>C09229</t>
  </si>
  <si>
    <t>PMDB00240</t>
  </si>
  <si>
    <t>C25 H46 N2 O4</t>
  </si>
  <si>
    <t>Secondary  Metabolites_Alkaloids_Diterpenoid Alkaloids
_PMDB00138_ 
Spiradine A</t>
  </si>
  <si>
    <t xml:space="preserve"> 
Spiradine A</t>
  </si>
  <si>
    <t xml:space="preserve"> 
C08708</t>
  </si>
  <si>
    <t>PMDB00138</t>
  </si>
  <si>
    <t>Secondary  Metabolites_Alkaloids_Betalain Alkaloids_PMDB00074_ 
Musca-aurin-II</t>
  </si>
  <si>
    <t xml:space="preserve"> 
Musca-aurin-II</t>
  </si>
  <si>
    <t xml:space="preserve"> 
C08560</t>
  </si>
  <si>
    <t>PMDB00074</t>
  </si>
  <si>
    <t>C16 H34 N6 O P2 S</t>
  </si>
  <si>
    <t>Secondary  Metabolites_Alkaloids_Other Alkaloids_PMDB00417_ 
Imperialine</t>
  </si>
  <si>
    <t xml:space="preserve"> 
Imperialine</t>
  </si>
  <si>
    <t xml:space="preserve"> 
C10808</t>
  </si>
  <si>
    <t>PMDB00417</t>
  </si>
  <si>
    <t>C22 H47 N5 O3</t>
  </si>
  <si>
    <t>Secondary  Metabolites_Alkaloids_Indole Alkaloids_ 
PMDB00265_Usambarensine</t>
  </si>
  <si>
    <t>Usambarensine</t>
  </si>
  <si>
    <t>C09249</t>
  </si>
  <si>
    <t xml:space="preserve"> 
PMDB00265</t>
  </si>
  <si>
    <t>Secondary  Metabolites_Alkaloids_Other Alkaloids_PMDB00440_Anisodamine</t>
  </si>
  <si>
    <t>Anisodamine</t>
  </si>
  <si>
    <t xml:space="preserve"> 
C10842</t>
  </si>
  <si>
    <t>PMDB00440</t>
  </si>
  <si>
    <t>C9 H18 N5 O P3</t>
  </si>
  <si>
    <t>Secondary  Metabolites_Alkaloids_Diterpenoid Alkaloids
_PMDB00142
_Staphidine</t>
  </si>
  <si>
    <t>Staphidine</t>
  </si>
  <si>
    <t xml:space="preserve"> 
C08712</t>
  </si>
  <si>
    <t xml:space="preserve">PMDB00142
</t>
  </si>
  <si>
    <t>C27 H60 N8 O P2 S</t>
  </si>
  <si>
    <t>Secondary  Metabolites_Alkaloids_Acridone Alkaloids_ 
PMDB00375_Melicopine</t>
  </si>
  <si>
    <t>Melicopine</t>
  </si>
  <si>
    <t>C10724</t>
  </si>
  <si>
    <t xml:space="preserve"> 
PMDB00375</t>
  </si>
  <si>
    <t>Hormones_Brassinosteroids_Brassinosteroids_PMDB00948_3-Dehydro-6-deoxoteasterone</t>
  </si>
  <si>
    <t>3-Dehydro-6-deoxoteasterone</t>
  </si>
  <si>
    <t xml:space="preserve"> 
C15800</t>
  </si>
  <si>
    <t>PMDB00948</t>
  </si>
  <si>
    <t>Secondary  Metabolites_Alkaloids_Other Alkaloids_PMDB00427_Solanidine</t>
  </si>
  <si>
    <t>Solanidine</t>
  </si>
  <si>
    <t xml:space="preserve"> 
C06543</t>
  </si>
  <si>
    <t>PMDB00427</t>
  </si>
  <si>
    <t>Secondary  Metabolites_Terpenoids_Phytosterols_PMDB00722_Cyasterone</t>
  </si>
  <si>
    <t>Cyasterone</t>
  </si>
  <si>
    <t xml:space="preserve"> 
C08816</t>
  </si>
  <si>
    <t>PMDB00722</t>
  </si>
  <si>
    <t>C19 H37 O14 P</t>
  </si>
  <si>
    <t xml:space="preserve">Secondary  Metabolites_Terpenoids_Phytosterols_PMDB00734_Polypodine B
</t>
  </si>
  <si>
    <t xml:space="preserve">Polypodine B
</t>
  </si>
  <si>
    <t xml:space="preserve"> 
C08834</t>
  </si>
  <si>
    <t>PMDB00734</t>
  </si>
  <si>
    <t>C23 H52 N4 O7</t>
  </si>
  <si>
    <t>Secondary  Metabolites_Phenolics
_Isoflavonoids
_PMDB00883
_Luteone</t>
  </si>
  <si>
    <t>Luteone</t>
  </si>
  <si>
    <t>C10498</t>
  </si>
  <si>
    <t xml:space="preserve">PMDB00883
</t>
  </si>
  <si>
    <t>C12 H34 N8 S2</t>
  </si>
  <si>
    <t>Hormones_Gibberellins
_Gibberellins
_PMDB00984_Gibberellin A34-catabolite</t>
  </si>
  <si>
    <t>Gibberellin A34-catabolite</t>
  </si>
  <si>
    <t xml:space="preserve"> 
C11869</t>
  </si>
  <si>
    <t>PMDB00984</t>
  </si>
  <si>
    <t>C21 H31 P S</t>
  </si>
  <si>
    <t>Secondary  Metabolites_Phenolics
_Minor Flavonoids_PMDB00592_ 
Pinobanksin</t>
  </si>
  <si>
    <t xml:space="preserve"> 
Pinobanksin</t>
  </si>
  <si>
    <t xml:space="preserve"> 
C09826</t>
  </si>
  <si>
    <t>PMDB00592</t>
  </si>
  <si>
    <t>C6 H13 N10 O P</t>
  </si>
  <si>
    <t>Secondary  Metabolites_Alkaloids_Other Alkaloids_PMDB00425_Solacapine</t>
  </si>
  <si>
    <t>Solacapine</t>
  </si>
  <si>
    <t xml:space="preserve"> 
C10818</t>
  </si>
  <si>
    <t>PMDB00425</t>
  </si>
  <si>
    <t>Secondary  Metabolites_Phenolics
_Benzofurans
_PMDB00546_ 
Toxol</t>
  </si>
  <si>
    <t xml:space="preserve"> 
Toxol</t>
  </si>
  <si>
    <t xml:space="preserve"> 
C08979</t>
  </si>
  <si>
    <t>PMDB00546</t>
  </si>
  <si>
    <t>C7 H18 N6 O2</t>
  </si>
  <si>
    <t>Secondary  Metabolites_Alkaloids_Other Alkaloids_PMDB00453_Cochlearine</t>
  </si>
  <si>
    <t>Cochlearine</t>
  </si>
  <si>
    <t>C10853</t>
  </si>
  <si>
    <t>PMDB00453</t>
  </si>
  <si>
    <t>C6 H7 N5 O7</t>
  </si>
  <si>
    <t>Secondary  Metabolites_Phenolics
_Isoflavonoids
_PMDB00862_ 
Daidzein</t>
  </si>
  <si>
    <t xml:space="preserve"> 
Daidzein</t>
  </si>
  <si>
    <t xml:space="preserve"> 
C10208</t>
  </si>
  <si>
    <t>PMDB00862</t>
  </si>
  <si>
    <t>C7 H23 N6 O2 P</t>
  </si>
  <si>
    <t>Secondary  Metabolites_Terpenoids_Steroid Saponins_PMDB00695_Convallagenin A</t>
  </si>
  <si>
    <t>Convallagenin A</t>
  </si>
  <si>
    <t>C08890</t>
  </si>
  <si>
    <t>PMDB00695</t>
  </si>
  <si>
    <t>C21 H37 Cl N2 O6</t>
  </si>
  <si>
    <t>Secondary  Metabolites_Others_Others_PMDB00003_Hyperin</t>
  </si>
  <si>
    <t>Hyperin</t>
  </si>
  <si>
    <t>C10073</t>
  </si>
  <si>
    <t>PMDB00003</t>
  </si>
  <si>
    <t>C17 H36 N8 O3 S2</t>
  </si>
  <si>
    <t>Secondary  Metabolites_Alkaloids_Indole Alkaloids_PMDB00166_Aspidodasycarpine</t>
  </si>
  <si>
    <t>Aspidodasycarpine</t>
  </si>
  <si>
    <t xml:space="preserve"> 
C09039</t>
  </si>
  <si>
    <t>PMDB00166</t>
  </si>
  <si>
    <t>Secondary  Metabolites_Alkaloids_Diterpenoid Alkaloids
_PMDB00122_Jesaconitine</t>
  </si>
  <si>
    <t>Jesaconitine</t>
  </si>
  <si>
    <t xml:space="preserve"> 
C08692</t>
  </si>
  <si>
    <t>PMDB00122</t>
  </si>
  <si>
    <t>C23 H51 N O15 P2 S</t>
  </si>
  <si>
    <t>Secondary  Metabolites_Terpenoids_Other Terpenoids_PMDB00782_Fernene</t>
  </si>
  <si>
    <t>Fernene</t>
  </si>
  <si>
    <t xml:space="preserve"> 
C08625</t>
  </si>
  <si>
    <t>PMDB00782</t>
  </si>
  <si>
    <t>Secondary  Metabolites_Alkaloids_Indole Alkaloids_PMDB00177_Borreverine</t>
  </si>
  <si>
    <t>Borreverine</t>
  </si>
  <si>
    <t xml:space="preserve"> 
C09082</t>
  </si>
  <si>
    <t>PMDB00177</t>
  </si>
  <si>
    <t>C23 H40 N6 O5</t>
  </si>
  <si>
    <t>Secondary  Metabolites_Alkaloids_Other Alkaloids_PMDB00435_Veracevine</t>
  </si>
  <si>
    <t>Veracevine</t>
  </si>
  <si>
    <t xml:space="preserve"> 
C10828</t>
  </si>
  <si>
    <t>PMDB00435</t>
  </si>
  <si>
    <t>C6 H21 Br Cl N8 O8 P S</t>
  </si>
  <si>
    <t>Secondary  Metabolites_Phenolics
_Anthocyanins
_ 
PMDB00527_Pelargonidin</t>
  </si>
  <si>
    <t>Pelargonidin</t>
  </si>
  <si>
    <t xml:space="preserve"> 
C05904</t>
  </si>
  <si>
    <t xml:space="preserve"> 
PMDB00527</t>
  </si>
  <si>
    <t>Secondary  Metabolites_Alkaloids_Other Alkaloids_PMDB00433_Tomatidine</t>
  </si>
  <si>
    <t>Tomatidine</t>
  </si>
  <si>
    <t xml:space="preserve"> 
C10826</t>
  </si>
  <si>
    <t>PMDB00433</t>
  </si>
  <si>
    <t>C25 H39 N P2</t>
  </si>
  <si>
    <t>Secondary  Metabolites_Phenolics
_Quinones
_PMDB00837_Morindaparvin A</t>
  </si>
  <si>
    <t>Morindaparvin A</t>
  </si>
  <si>
    <t xml:space="preserve"> 
C10374</t>
  </si>
  <si>
    <t>PMDB00837</t>
  </si>
  <si>
    <t>C7 H20 N6 O4</t>
  </si>
  <si>
    <t>Secondary  Metabolites_Alkaloids_Indole Alkaloids_PMDB00168_Aspidospermatine</t>
  </si>
  <si>
    <t>Aspidospermatine</t>
  </si>
  <si>
    <t xml:space="preserve"> 
C09041</t>
  </si>
  <si>
    <t>PMDB00168</t>
  </si>
  <si>
    <t>Secondary  Metabolites_Terpenoids_Monoterpenoids_PMDB00641_ 
Ascaridole</t>
  </si>
  <si>
    <t xml:space="preserve"> 
Ascaridole</t>
  </si>
  <si>
    <t xml:space="preserve"> 
C09836</t>
  </si>
  <si>
    <t>PMDB00641</t>
  </si>
  <si>
    <t>Secondary  Metabolites_Alkaloids_Indole Alkaloids_PMDB00188_Catharanthine</t>
  </si>
  <si>
    <t>Catharanthine</t>
  </si>
  <si>
    <t>C09107</t>
  </si>
  <si>
    <t>PMDB00188</t>
  </si>
  <si>
    <t>Secondary  Metabolites_Terpenoids_Phytosterols_PMDB00732_Podecdysone B</t>
  </si>
  <si>
    <t>Podecdysone B</t>
  </si>
  <si>
    <t xml:space="preserve"> 
C08832</t>
  </si>
  <si>
    <t>PMDB00732</t>
  </si>
  <si>
    <t>C31 H59 P</t>
  </si>
  <si>
    <t>Secondary  Metabolites_Others_Others_PMDB00034_Amaryllisine</t>
  </si>
  <si>
    <t>Amaryllisine</t>
  </si>
  <si>
    <t>C08516</t>
  </si>
  <si>
    <t>PMDB00034</t>
  </si>
  <si>
    <t>C13 H15 N7 O3</t>
  </si>
  <si>
    <t>Hormones_Gibberellins
_Gibberellins
_PMDB00969_Gibberellin A13</t>
  </si>
  <si>
    <t>Gibberellin A13</t>
  </si>
  <si>
    <t>PMDB00969</t>
  </si>
  <si>
    <t>C12 H28 O7 P2 S</t>
  </si>
  <si>
    <t>Secondary  Metabolites_Alkaloids_Indole Alkaloids_PMDB00200_Ellipticine</t>
  </si>
  <si>
    <t>Ellipticine</t>
  </si>
  <si>
    <t xml:space="preserve"> 
C09154</t>
  </si>
  <si>
    <t>PMDB00200</t>
  </si>
  <si>
    <t>Secondary  Metabolites_Terpenoids_Carotenoids_PMDB00751_ 
alpha-Carotene</t>
  </si>
  <si>
    <t xml:space="preserve"> 
alpha-Carotene</t>
  </si>
  <si>
    <t xml:space="preserve"> 
C05433</t>
  </si>
  <si>
    <t>PMDB00751</t>
  </si>
  <si>
    <t>Secondary  Metabolites_Alkaloids_Indole Alkaloids_PMDB00247_Quebrachamine</t>
  </si>
  <si>
    <t>Quebrachamine</t>
  </si>
  <si>
    <t xml:space="preserve"> 
C09235</t>
  </si>
  <si>
    <t>PMDB00247</t>
  </si>
  <si>
    <t>C18 H34 O2</t>
  </si>
  <si>
    <t>Secondary  Metabolites_Alkaloids_Other Alkaloids_PMDB00434_Tomatine</t>
  </si>
  <si>
    <t>Tomatine</t>
  </si>
  <si>
    <t xml:space="preserve"> 
C10827</t>
  </si>
  <si>
    <t>PMDB00434</t>
  </si>
  <si>
    <t>C52 H92 N8 O7 P2 S</t>
  </si>
  <si>
    <t>Secondary  Metabolites_Alkaloids_Other Alkaloids_ 
PMDB00294_ 
Lycopodine</t>
  </si>
  <si>
    <t xml:space="preserve"> 
Lycopodine</t>
  </si>
  <si>
    <t xml:space="preserve"> 
C09883</t>
  </si>
  <si>
    <t xml:space="preserve"> 
PMDB00294</t>
  </si>
  <si>
    <t>C6 H12 N5 P3</t>
  </si>
  <si>
    <t>Hormones_Brassinosteroids_Brassinosteroids_PMDB00949_ 
3-Dehydroteasterone</t>
  </si>
  <si>
    <t xml:space="preserve"> 
3-Dehydroteasterone</t>
  </si>
  <si>
    <t xml:space="preserve"> 
C15792</t>
  </si>
  <si>
    <t>PMDB00949</t>
  </si>
  <si>
    <t>Secondary  Metabolites_Terpenoids_Phytosterols_PMDB00740_alpha-Spinasterol</t>
  </si>
  <si>
    <t>alpha-Spinasterol</t>
  </si>
  <si>
    <t xml:space="preserve"> 
C08840</t>
  </si>
  <si>
    <t>PMDB00740</t>
  </si>
  <si>
    <t>C3 H7 Cl N7 O5 P3 S2</t>
  </si>
  <si>
    <t>Secondary  Metabolites_Terpenoids_Phytosterols_PMDB00719_ 
Brassicasterol</t>
  </si>
  <si>
    <t xml:space="preserve"> 
Brassicasterol</t>
  </si>
  <si>
    <t xml:space="preserve"> 
C08813</t>
  </si>
  <si>
    <t>PMDB00719</t>
  </si>
  <si>
    <t>C23 H46 N2 O3</t>
  </si>
  <si>
    <t>Secondary  Metabolites_Alkaloids_Diterpenoid Alkaloids
_PMDB00118_Hypaconitine</t>
  </si>
  <si>
    <t>Hypaconitine</t>
  </si>
  <si>
    <t xml:space="preserve"> 
C08688</t>
  </si>
  <si>
    <t>PMDB00118</t>
  </si>
  <si>
    <t xml:space="preserve">Hormones_Gibberellins
_Gibberellins
_PMDB00982
_Gibberellin A29-catabolite
</t>
  </si>
  <si>
    <t xml:space="preserve">Gibberellin A29-catabolite
</t>
  </si>
  <si>
    <t>C11855</t>
  </si>
  <si>
    <t xml:space="preserve">PMDB00982
</t>
  </si>
  <si>
    <t>Secondary  Metabolites_Phenolics
_Isoflavonoids
_PMDB00912_Tectoridin</t>
  </si>
  <si>
    <t>Tectoridin</t>
  </si>
  <si>
    <t xml:space="preserve"> 
C10533</t>
  </si>
  <si>
    <t>PMDB00912</t>
  </si>
  <si>
    <t>Secondary  Metabolites_Phenolics
_Isoflavonoids
_PMDB00904_ 
Puerarin</t>
  </si>
  <si>
    <t xml:space="preserve"> 
Puerarin</t>
  </si>
  <si>
    <t xml:space="preserve"> 
C10524</t>
  </si>
  <si>
    <t>PMDB00904</t>
  </si>
  <si>
    <t>Secondary  Metabolites_Terpenoids_Carotenoids_PMDB00760_Lactucaxanthin</t>
  </si>
  <si>
    <t>Lactucaxanthin</t>
  </si>
  <si>
    <t xml:space="preserve"> 
C08599</t>
  </si>
  <si>
    <t>PMDB00760</t>
  </si>
  <si>
    <t>C23 H52 N8 S4</t>
  </si>
  <si>
    <t>Secondary  Metabolites_Alkaloids_Other Alkaloids_ 
PMDB00287_Lucidine B</t>
  </si>
  <si>
    <t>Lucidine B</t>
  </si>
  <si>
    <t xml:space="preserve"> 
C09869</t>
  </si>
  <si>
    <t xml:space="preserve"> 
PMDB00287</t>
  </si>
  <si>
    <t>Secondary  Metabolites_Others_Others_PMDB00048_Lycorenine</t>
  </si>
  <si>
    <t>Lycorenine</t>
  </si>
  <si>
    <t xml:space="preserve"> 
C08530</t>
  </si>
  <si>
    <t>PMDB00048</t>
  </si>
  <si>
    <t>Hormones_Gibberellins
_Gibberellins
_PMDB00986_ 
Gibberellin A37</t>
  </si>
  <si>
    <t xml:space="preserve"> 
Gibberellin A37</t>
  </si>
  <si>
    <t xml:space="preserve"> 
C14161</t>
  </si>
  <si>
    <t>PMDB00986</t>
  </si>
  <si>
    <t>C18 H37 P3</t>
  </si>
  <si>
    <t>Secondary  Metabolites_Alkaloids_Other Alkaloids_PMDB00328
_ 
Wilfordine</t>
  </si>
  <si>
    <t xml:space="preserve"> 
Wilfordine</t>
  </si>
  <si>
    <t xml:space="preserve"> 
C09992</t>
  </si>
  <si>
    <t xml:space="preserve">PMDB00328
</t>
  </si>
  <si>
    <t>C57 H67 N5 P2</t>
  </si>
  <si>
    <t>Secondary  Metabolites_Phenolics
_Minor Flavonoids_PMDB00552_Abyssinone V</t>
  </si>
  <si>
    <t>Abyssinone V</t>
  </si>
  <si>
    <t xml:space="preserve"> 
C09319</t>
  </si>
  <si>
    <t>PMDB00552</t>
  </si>
  <si>
    <t>C25 H48 N2 O2</t>
  </si>
  <si>
    <t>Secondary  Metabolites_Terpenoids_Triterpenoid Saponins_PMDB00673_ 
Colubrinoside</t>
  </si>
  <si>
    <t xml:space="preserve"> 
Colubrinoside</t>
  </si>
  <si>
    <t xml:space="preserve"> 
C08937</t>
  </si>
  <si>
    <t>PMDB00673</t>
  </si>
  <si>
    <t>Secondary  Metabolites_Phenolics
_Minor Flavonoids_PMDB00595_ 
Sakuranetin</t>
  </si>
  <si>
    <t xml:space="preserve"> 
Sakuranetin</t>
  </si>
  <si>
    <t>C09833</t>
  </si>
  <si>
    <t>PMDB00595</t>
  </si>
  <si>
    <t>Secondary  Metabolites_Terpenoids_Phytosterols_PMDB00741_Stigmasterol</t>
  </si>
  <si>
    <t>Stigmasterol</t>
  </si>
  <si>
    <t>C05442</t>
  </si>
  <si>
    <t>PMDB00741</t>
  </si>
  <si>
    <t>Secondary  Metabolites_Alkaloids_Other Alkaloids_PMDB00419_Jervine</t>
  </si>
  <si>
    <t>Jervine</t>
  </si>
  <si>
    <t xml:space="preserve"> 
C10811</t>
  </si>
  <si>
    <t>PMDB00419</t>
  </si>
  <si>
    <t>C19 H35 N7 O4</t>
  </si>
  <si>
    <t>Secondary  Metabolites_Phenolics
_Isoflavonoids
_PMDB00896
_Phaseollinisoflavan</t>
  </si>
  <si>
    <t>Phaseollinisoflavan</t>
  </si>
  <si>
    <t xml:space="preserve"> 
C10515</t>
  </si>
  <si>
    <t xml:space="preserve">PMDB00896
</t>
  </si>
  <si>
    <t>C16 H16 N6 O2</t>
  </si>
  <si>
    <t>Secondary  Metabolites_Alkaloids_Indole Alkaloids_PMDB00220_Haplophytine</t>
  </si>
  <si>
    <t>Haplophytine</t>
  </si>
  <si>
    <t>C09208</t>
  </si>
  <si>
    <t>PMDB00220</t>
  </si>
  <si>
    <t>C18 H36 N8 O16 S</t>
  </si>
  <si>
    <t>Secondary  Metabolites_Others_Others_PMDB00013_ 
bornyl acetate</t>
  </si>
  <si>
    <t xml:space="preserve"> 
bornyl acetate</t>
  </si>
  <si>
    <t xml:space="preserve"> 
C09837</t>
  </si>
  <si>
    <t>PMDB00013</t>
  </si>
  <si>
    <t>[2M-H+HAc]-1</t>
  </si>
  <si>
    <t>C9 H8 O S2</t>
  </si>
  <si>
    <t xml:space="preserve">Secondary  Metabolites_Alkaloids_Peptide Alkaloids_PMDB00349_Scutianine F
</t>
  </si>
  <si>
    <t xml:space="preserve">Scutianine F
</t>
  </si>
  <si>
    <t>C10014</t>
  </si>
  <si>
    <t>PMDB00349</t>
  </si>
  <si>
    <t>C43 H73 N O S</t>
  </si>
  <si>
    <t>Secondary  Metabolites_Alkaloids_Other Alkaloids_PMDB00316_Fabianine</t>
  </si>
  <si>
    <t>Fabianine</t>
  </si>
  <si>
    <t xml:space="preserve"> 
C09949</t>
  </si>
  <si>
    <t>PMDB00316</t>
  </si>
  <si>
    <t>C7 H18 N5 O P</t>
  </si>
  <si>
    <t>Secondary  Metabolites_Others_Others_PMDB00015_ 
friedelin</t>
  </si>
  <si>
    <t xml:space="preserve"> 
friedelin</t>
  </si>
  <si>
    <t xml:space="preserve"> 
C08626</t>
  </si>
  <si>
    <t>PMDB00015</t>
  </si>
  <si>
    <t>C19 H38 O10</t>
  </si>
  <si>
    <t>Secondary  Metabolites_Alkaloids_Indole Alkaloids_PMDB00269_ 
Vincristine</t>
  </si>
  <si>
    <t xml:space="preserve"> 
Vincristine</t>
  </si>
  <si>
    <t xml:space="preserve"> 
C07204</t>
  </si>
  <si>
    <t>PMDB00269</t>
  </si>
  <si>
    <t>C25 H47 N8 O17 P3</t>
  </si>
  <si>
    <t>Secondary  Metabolites_Alkaloids_Indole Alkaloids_PMDB00196_Deserpidine</t>
  </si>
  <si>
    <t>Deserpidine</t>
  </si>
  <si>
    <t xml:space="preserve"> 
C06541</t>
  </si>
  <si>
    <t>PMDB00196</t>
  </si>
  <si>
    <t>C20 H33 N6 O8 P3</t>
  </si>
  <si>
    <t>Secondary  Metabolites_Alkaloids_Indole Alkaloids_PMDB00233_ 
Melosatin B</t>
  </si>
  <si>
    <t xml:space="preserve"> 
Melosatin B</t>
  </si>
  <si>
    <t xml:space="preserve"> 
C09222</t>
  </si>
  <si>
    <t>PMDB00233</t>
  </si>
  <si>
    <t>C6 H12 N7 O5 P</t>
  </si>
  <si>
    <t>Secondary  Metabolites_Terpenoids_Diterpenoids_PMDB00633_Ingenol</t>
  </si>
  <si>
    <t>Ingenol</t>
  </si>
  <si>
    <t>C09112</t>
  </si>
  <si>
    <t>PMDB00633</t>
  </si>
  <si>
    <t>Secondary  Metabolites_Terpenoids_Monoterpenoids_PMDB00662_ 
Piquerol A</t>
  </si>
  <si>
    <t xml:space="preserve"> 
Piquerol A</t>
  </si>
  <si>
    <t xml:space="preserve"> 
C09887</t>
  </si>
  <si>
    <t>PMDB00662</t>
  </si>
  <si>
    <t>Secondary  Metabolites_Phenolics
_Isoflavonoids
_PMDB00871_Glyceollin I</t>
  </si>
  <si>
    <t>Glyceollin I</t>
  </si>
  <si>
    <t xml:space="preserve"> 
C01701</t>
  </si>
  <si>
    <t>PMDB00871</t>
  </si>
  <si>
    <t>Secondary  Metabolites_Phenolics
_Minor Flavonoids_PMDB00575_ 
Hesperetin</t>
  </si>
  <si>
    <t xml:space="preserve"> 
Hesperetin</t>
  </si>
  <si>
    <t xml:space="preserve"> 
C01709</t>
  </si>
  <si>
    <t>PMDB00575</t>
  </si>
  <si>
    <t>C7 H19 N4 O7 P</t>
  </si>
  <si>
    <t>Secondary  Metabolites_Alkaloids_Other Alkaloids_PMDB00446
_Benzoylecgonine</t>
  </si>
  <si>
    <t>Benzoylecgonine</t>
  </si>
  <si>
    <t xml:space="preserve"> 
C10847</t>
  </si>
  <si>
    <t xml:space="preserve">PMDB00446
</t>
  </si>
  <si>
    <t>Secondary  Metabolites_Alkaloids_Other Alkaloids_PMDB00451_Cinnamoylcocaine</t>
  </si>
  <si>
    <t>Cinnamoylcocaine</t>
  </si>
  <si>
    <t xml:space="preserve"> 
C10852</t>
  </si>
  <si>
    <t>PMDB00451</t>
  </si>
  <si>
    <t>Secondary  Metabolites_Alkaloids_Betalain Alkaloids_PMDB00056_Betalamic acid</t>
  </si>
  <si>
    <t>Betalamic acid</t>
  </si>
  <si>
    <t xml:space="preserve"> 
C08538  </t>
  </si>
  <si>
    <t>PMDB00056</t>
  </si>
  <si>
    <t>Secondary  Metabolites_Alkaloids_Other Alkaloids_ 
PMDB00289_ 
Lycocernuine</t>
  </si>
  <si>
    <t xml:space="preserve"> 
Lycocernuine</t>
  </si>
  <si>
    <t>C09874</t>
  </si>
  <si>
    <t xml:space="preserve"> 
PMDB00289</t>
  </si>
  <si>
    <t>C17 H10 O2 S</t>
  </si>
  <si>
    <t>Secondary  Metabolites_Alkaloids_Peptide Alkaloids_ 
PMDB00329_Adouetine X</t>
  </si>
  <si>
    <t>Adouetine X</t>
  </si>
  <si>
    <t>C09993</t>
  </si>
  <si>
    <t xml:space="preserve"> 
PMDB00329</t>
  </si>
  <si>
    <t>C20 H25 N10 O2 P S</t>
  </si>
  <si>
    <t>Secondary  Metabolites_Terpenoids_Diterpenoids_PMDB00638_Marrubiin</t>
  </si>
  <si>
    <t>Marrubiin</t>
  </si>
  <si>
    <t xml:space="preserve"> 
C09128</t>
  </si>
  <si>
    <t>PMDB00638</t>
  </si>
  <si>
    <t>C22 H36 S</t>
  </si>
  <si>
    <t>Secondary  Metabolites_Alkaloids_Quinazoline Alkaloids_PMDB00363
_Vasicinol</t>
  </si>
  <si>
    <t>Vasicinol</t>
  </si>
  <si>
    <t xml:space="preserve"> 
C10743</t>
  </si>
  <si>
    <t xml:space="preserve">PMDB00363
</t>
  </si>
  <si>
    <t>Secondary  Metabolites_Others_Others_PMDB00041_Carinatine</t>
  </si>
  <si>
    <t>Carinatine</t>
  </si>
  <si>
    <t xml:space="preserve"> 
C08523</t>
  </si>
  <si>
    <t>PMDB00041</t>
  </si>
  <si>
    <t>Secondary  Metabolites_Phenolics
_Minor Flavonoids_PMDB00599_Taxifolin</t>
  </si>
  <si>
    <t>Taxifolin</t>
  </si>
  <si>
    <t xml:space="preserve"> 
C01617</t>
  </si>
  <si>
    <t>PMDB00599</t>
  </si>
  <si>
    <t>Secondary  Metabolites_Alkaloids_Betalain Alkaloids_PMDB00065_Indicaxanthin</t>
  </si>
  <si>
    <t>Indicaxanthin</t>
  </si>
  <si>
    <t xml:space="preserve"> 
C08549</t>
  </si>
  <si>
    <t>PMDB00065</t>
  </si>
  <si>
    <t>C16 H32 N6</t>
  </si>
  <si>
    <t>Secondary  Metabolites_Terpenoids_Phytosterols_PMDB00737_Pterosterone</t>
  </si>
  <si>
    <t>Pterosterone</t>
  </si>
  <si>
    <t xml:space="preserve"> 
C08838</t>
  </si>
  <si>
    <t>PMDB00737</t>
  </si>
  <si>
    <t>C29 H36 O6</t>
  </si>
  <si>
    <t>Secondary  Metabolites_Alkaloids_Other Alkaloids_PMDB00280_Carolinianine</t>
  </si>
  <si>
    <t>Carolinianine</t>
  </si>
  <si>
    <t xml:space="preserve"> 
C09856</t>
  </si>
  <si>
    <t>PMDB00280</t>
  </si>
  <si>
    <t>Secondary  Metabolites_Alkaloids_Indole Alkaloids_PMDB00205_Ergocristine</t>
  </si>
  <si>
    <t>Ergocristine</t>
  </si>
  <si>
    <t xml:space="preserve"> 
C09164</t>
  </si>
  <si>
    <t>PMDB00205</t>
  </si>
  <si>
    <t>C23 H50 N O11 P3</t>
  </si>
  <si>
    <t>Secondary  Metabolites_Phenolics
_Minor Flavonoids_PMDB00563_Davidigenin</t>
  </si>
  <si>
    <t>Davidigenin</t>
  </si>
  <si>
    <t xml:space="preserve"> 
C09618</t>
  </si>
  <si>
    <t>PMDB00563</t>
  </si>
  <si>
    <t>Secondary  Metabolites_Alkaloids_Indole Alkaloids_PMDB00243_Physostigmine</t>
  </si>
  <si>
    <t>Physostigmine</t>
  </si>
  <si>
    <t xml:space="preserve"> 
C06535</t>
  </si>
  <si>
    <t>PMDB00243</t>
  </si>
  <si>
    <t>C12 H17 N7 O</t>
  </si>
  <si>
    <t>Secondary  Metabolites_Alkaloids_Indole Alkaloids_PMDB00173_ 
Bonafousine</t>
  </si>
  <si>
    <t xml:space="preserve"> 
Bonafousine</t>
  </si>
  <si>
    <t xml:space="preserve"> 
C09050</t>
  </si>
  <si>
    <t>PMDB00173</t>
  </si>
  <si>
    <t>Secondary  Metabolites_Terpenoids_Diterpenoids_PMDB00628_Daphnetoxin</t>
  </si>
  <si>
    <t>Daphnetoxin</t>
  </si>
  <si>
    <t xml:space="preserve"> 
C09080</t>
  </si>
  <si>
    <t>PMDB00628</t>
  </si>
  <si>
    <t>C19 H15 N8 O4 P S</t>
  </si>
  <si>
    <t>Secondary  Metabolites_Alkaloids_Indole Alkaloids_PMDB00257_Tabernamine</t>
  </si>
  <si>
    <t>Tabernamine</t>
  </si>
  <si>
    <t xml:space="preserve"> 
C09242</t>
  </si>
  <si>
    <t>PMDB00257</t>
  </si>
  <si>
    <t>Secondary  Metabolites_Terpenoids_Phytosterols_PMDB00718_Ajugasterone C</t>
  </si>
  <si>
    <t>Ajugasterone C</t>
  </si>
  <si>
    <t xml:space="preserve"> 
C08811</t>
  </si>
  <si>
    <t>PMDB00718</t>
  </si>
  <si>
    <t>Secondary  Metabolites_Terpenoids_Diterpenoids_PMDB00632_Inflexin</t>
  </si>
  <si>
    <t>Inflexin</t>
  </si>
  <si>
    <t xml:space="preserve"> 
C09111</t>
  </si>
  <si>
    <t>PMDB00632</t>
  </si>
  <si>
    <t>Secondary  Metabolites_Phenolics
_Anthocyanins
_PMDB00525_ 
Monardaein</t>
  </si>
  <si>
    <t xml:space="preserve"> 
Monardaein</t>
  </si>
  <si>
    <t xml:space="preserve"> 
C08723</t>
  </si>
  <si>
    <t>PMDB00525</t>
  </si>
  <si>
    <t>C40 H69 N9 O11 P2</t>
  </si>
  <si>
    <t>Secondary  Metabolites_Alkaloids_Other Alkaloids_PMDB00476_Adiantifoline</t>
  </si>
  <si>
    <t>Adiantifoline</t>
  </si>
  <si>
    <t xml:space="preserve"> 
C09323</t>
  </si>
  <si>
    <t>PMDB00476</t>
  </si>
  <si>
    <t>C39 H74 N4 O6 S</t>
  </si>
  <si>
    <t>Secondary  Metabolites_Phenolics
_Minor Flavonoids_PMDB00571_Fustin</t>
  </si>
  <si>
    <t>Fustin</t>
  </si>
  <si>
    <t>C01378</t>
  </si>
  <si>
    <t>PMDB00571</t>
  </si>
  <si>
    <t>C22 H24</t>
  </si>
  <si>
    <t>Secondary  Metabolites_Alkaloids_Other Alkaloids_PMDB00442_Apohyoscine</t>
  </si>
  <si>
    <t>Apohyoscine</t>
  </si>
  <si>
    <t xml:space="preserve"> 
C10844</t>
  </si>
  <si>
    <t>PMDB00442</t>
  </si>
  <si>
    <t>C8 H24 N5 O4 P</t>
  </si>
  <si>
    <t>Secondary  Metabolites_Phenolics
_Isoflavonoids
_PMDB00916_Toxicarol</t>
  </si>
  <si>
    <t>Toxicarol</t>
  </si>
  <si>
    <t xml:space="preserve"> 
C10537</t>
  </si>
  <si>
    <t>PMDB00916</t>
  </si>
  <si>
    <t>Secondary  Metabolites_Alkaloids_Indole Alkaloids_PMDB00237_Mitragynine</t>
  </si>
  <si>
    <t>Mitragynine</t>
  </si>
  <si>
    <t>C09226</t>
  </si>
  <si>
    <t>PMDB00237</t>
  </si>
  <si>
    <t>Secondary  Metabolites_Phenolics
_Isoflavonoids
_PMDB00861_Cyclokievitone</t>
  </si>
  <si>
    <t>Cyclokievitone</t>
  </si>
  <si>
    <t>C10207</t>
  </si>
  <si>
    <t>PMDB00861</t>
  </si>
  <si>
    <t>Secondary  Metabolites_Alkaloids_Indole Alkaloids_ 
PMDB00272_Vobasine</t>
  </si>
  <si>
    <t>Vobasine</t>
  </si>
  <si>
    <t>C09253</t>
  </si>
  <si>
    <t xml:space="preserve"> 
PMDB00272</t>
  </si>
  <si>
    <t>C8 H12 Cl3 N O4 P2</t>
  </si>
  <si>
    <t>Secondary  Metabolites_Terpenoids_Steroid Saponins_PMDB00707_ 
Osladin</t>
  </si>
  <si>
    <t xml:space="preserve"> 
Osladin</t>
  </si>
  <si>
    <t xml:space="preserve"> 
C08905</t>
  </si>
  <si>
    <t>PMDB00707</t>
  </si>
  <si>
    <t>C37 H80 N10 O10 P2</t>
  </si>
  <si>
    <t>Secondary  Metabolites_Alkaloids_Diterpenoid Alkaloids
_PMDB00134_Pseudoaconitine</t>
  </si>
  <si>
    <t>Pseudoaconitine</t>
  </si>
  <si>
    <t xml:space="preserve"> 
C08704</t>
  </si>
  <si>
    <t>PMDB00134</t>
  </si>
  <si>
    <t>C37 H72 N O8 P</t>
  </si>
  <si>
    <t>Secondary  Metabolites_Alkaloids_Other Alkaloids_ 
PMDB00394_ 
Multiflorine</t>
  </si>
  <si>
    <t xml:space="preserve"> 
Multiflorine</t>
  </si>
  <si>
    <t xml:space="preserve"> 
C10775</t>
  </si>
  <si>
    <t xml:space="preserve"> 
PMDB00394</t>
  </si>
  <si>
    <t>C8 H22 N8 O</t>
  </si>
  <si>
    <t>Secondary  Metabolites_Alkaloids_Other Alkaloids_ 
PMDB00315_Enicoflavine</t>
  </si>
  <si>
    <t>Enicoflavine</t>
  </si>
  <si>
    <t xml:space="preserve"> 
C09946</t>
  </si>
  <si>
    <t xml:space="preserve"> 
PMDB00315</t>
  </si>
  <si>
    <t>Secondary  Metabolites_Terpenoids_Carotenoids_PMDB00747_Bixin</t>
  </si>
  <si>
    <t>Bixin</t>
  </si>
  <si>
    <t xml:space="preserve"> 
C08582</t>
  </si>
  <si>
    <t>PMDB00747</t>
  </si>
  <si>
    <t>C28 H42 O</t>
  </si>
  <si>
    <t>Hormones_Brassinosteroids_Brassinosteroids_PMDB00945_ 
Campestan-3-one</t>
  </si>
  <si>
    <t xml:space="preserve"> 
Campestan-3-one</t>
  </si>
  <si>
    <t>PMDB00945</t>
  </si>
  <si>
    <t>C17 H24 N10 O2</t>
  </si>
  <si>
    <t>Secondary  Metabolites_Phenolics
_Isoflavonoids
_PMDB00853_ 
Anhydroglycinol</t>
  </si>
  <si>
    <t xml:space="preserve"> 
Anhydroglycinol</t>
  </si>
  <si>
    <t xml:space="preserve"> 
C10200</t>
  </si>
  <si>
    <t>PMDB00853</t>
  </si>
  <si>
    <t>Secondary  Metabolites_Alkaloids_Other Alkaloids_ 
PMDB00310_Catheduline E2</t>
  </si>
  <si>
    <t>Catheduline E2</t>
  </si>
  <si>
    <t xml:space="preserve"> 
C09935</t>
  </si>
  <si>
    <t xml:space="preserve"> 
PMDB00310</t>
  </si>
  <si>
    <t>C43 H73 O5 P</t>
  </si>
  <si>
    <t>Secondary  Metabolites_Phenolics
_Minor Flavonoids_PMDB00593_ 
Pinocembrin</t>
  </si>
  <si>
    <t xml:space="preserve"> 
Pinocembrin</t>
  </si>
  <si>
    <t xml:space="preserve"> 
C09827</t>
  </si>
  <si>
    <t>PMDB00593</t>
  </si>
  <si>
    <t>C11 H21 N4 O P</t>
  </si>
  <si>
    <t xml:space="preserve">Secondary  Metabolites_Alkaloids_Diterpenoid Alkaloids
_PMDB00127_Lycoctonine
</t>
  </si>
  <si>
    <t xml:space="preserve">Lycoctonine
</t>
  </si>
  <si>
    <t xml:space="preserve"> 
C08697</t>
  </si>
  <si>
    <t>PMDB00127</t>
  </si>
  <si>
    <t>C34 H17 N3</t>
  </si>
  <si>
    <t xml:space="preserve">Secondary  Metabolites_Alkaloids_Diterpenoid Alkaloids
_PMDB00103_14-Deacetylnudicauline
</t>
  </si>
  <si>
    <t xml:space="preserve">14-Deacetylnudicauline
</t>
  </si>
  <si>
    <t xml:space="preserve"> 
C08673</t>
  </si>
  <si>
    <t>PMDB00103</t>
  </si>
  <si>
    <t>C33 H32 O15</t>
  </si>
  <si>
    <t>Hormones_Abscisic acid
_Abscisic acid
_PMDB01017_ 
(S)-2-trans-abscisic acid</t>
  </si>
  <si>
    <t xml:space="preserve"> 
(S)-2-trans-abscisic acid</t>
  </si>
  <si>
    <t>PMDB01017</t>
  </si>
  <si>
    <t>Secondary  Metabolites_Alkaloids_Diterpenoid Alkaloids
_PMDB00084_Aconifine</t>
  </si>
  <si>
    <t>Aconifine</t>
  </si>
  <si>
    <t xml:space="preserve"> 
C08655</t>
  </si>
  <si>
    <t>PMDB00084</t>
  </si>
  <si>
    <t>C47 H55 N3</t>
  </si>
  <si>
    <t xml:space="preserve">Secondary  Metabolites_Terpenoids_Triterpenoid Saponins_PMDB00677_Gymnemic acid I
</t>
  </si>
  <si>
    <t xml:space="preserve">Gymnemic acid I
</t>
  </si>
  <si>
    <t xml:space="preserve"> 
C08947</t>
  </si>
  <si>
    <t>PMDB00677</t>
  </si>
  <si>
    <t>C43 H81 N6 O2 P3</t>
  </si>
  <si>
    <t>Secondary  Metabolites_Alkaloids_Diterpenoid Alkaloids
_ 
PMDB00088_Anopterine</t>
  </si>
  <si>
    <t>Anopterine</t>
  </si>
  <si>
    <t xml:space="preserve"> 
C08658</t>
  </si>
  <si>
    <t xml:space="preserve"> 
PMDB00088</t>
  </si>
  <si>
    <t>Secondary  Metabolites_Terpenoids_Triterpenoid Saponins_PMDB00689_Ursolic acid</t>
  </si>
  <si>
    <t>Ursolic acid</t>
  </si>
  <si>
    <t xml:space="preserve"> 
C08988</t>
  </si>
  <si>
    <t>PMDB00689</t>
  </si>
  <si>
    <t>Hormones_Gibberellins
_Gibberellins
_PMDB01003_ 
Gibberellin 2-O-beta-D-glucoside</t>
  </si>
  <si>
    <t xml:space="preserve"> 
Gibberellin 2-O-beta-D-glucoside</t>
  </si>
  <si>
    <t xml:space="preserve"> 
C04070</t>
  </si>
  <si>
    <t>PMDB01003</t>
  </si>
  <si>
    <t>C37 H50 O</t>
  </si>
  <si>
    <t>Hormones_Brassinosteroids_Brassinosteroids_PMDB00951_ 
6-Deoxocastasterone</t>
  </si>
  <si>
    <t xml:space="preserve"> 
6-Deoxocastasterone</t>
  </si>
  <si>
    <t xml:space="preserve"> 
C15802</t>
  </si>
  <si>
    <t>PMDB00951</t>
  </si>
  <si>
    <t>C26 H46 N2 O4</t>
  </si>
  <si>
    <t>Secondary  Metabolites_Phenolics
_Flavones
_PMDB00610_Chrysin</t>
  </si>
  <si>
    <t>Chrysin</t>
  </si>
  <si>
    <t>C10028</t>
  </si>
  <si>
    <t>PMDB00610</t>
  </si>
  <si>
    <t>C11 H6 N6 O2</t>
  </si>
  <si>
    <t>Secondary  Metabolites_Phenolics
_Benzofurans
_PMDB00540_6-O-Methyleuparin</t>
  </si>
  <si>
    <t>6-O-Methyleuparin</t>
  </si>
  <si>
    <t xml:space="preserve"> 
C08762</t>
  </si>
  <si>
    <t>PMDB00540</t>
  </si>
  <si>
    <t>C6 H8 N4 O2 P2</t>
  </si>
  <si>
    <t>Secondary  Metabolites_Alkaloids_Other Alkaloids_ 
PMDB00311_ 
Celapanine</t>
  </si>
  <si>
    <t xml:space="preserve"> 
Celapanine</t>
  </si>
  <si>
    <t xml:space="preserve"> 
C09937</t>
  </si>
  <si>
    <t xml:space="preserve"> 
PMDB00311</t>
  </si>
  <si>
    <t>C40 H59 N O</t>
  </si>
  <si>
    <t>Secondary  Metabolites_Alkaloids_Diterpenoid Alkaloids
_PMDB00112_Erythrophleguine</t>
  </si>
  <si>
    <t>Erythrophleguine</t>
  </si>
  <si>
    <t xml:space="preserve"> 
C08682</t>
  </si>
  <si>
    <t>PMDB00112</t>
  </si>
  <si>
    <t>Secondary  Metabolites_Alkaloids_Other Alkaloids_PMDB00308_ 
Cantleyine</t>
  </si>
  <si>
    <t xml:space="preserve"> 
Cantleyine</t>
  </si>
  <si>
    <t xml:space="preserve"> 
C09933</t>
  </si>
  <si>
    <t>PMDB00308</t>
  </si>
  <si>
    <t>C5 H14 N5 O2 P</t>
  </si>
  <si>
    <t>Secondary  Metabolites_Alkaloids_Indole Alkaloids_PMDB00182_Callichiline</t>
  </si>
  <si>
    <t>Callichiline</t>
  </si>
  <si>
    <t>C09088</t>
  </si>
  <si>
    <t>PMDB00182</t>
  </si>
  <si>
    <t>C38 H57 O9 P</t>
  </si>
  <si>
    <t>Secondary  Metabolites_Others_Others_PMDB00032
_ 
3-Acetylnerbowdine</t>
  </si>
  <si>
    <t xml:space="preserve"> 
3-Acetylnerbowdine</t>
  </si>
  <si>
    <t xml:space="preserve"> 
C08514</t>
  </si>
  <si>
    <t xml:space="preserve">PMDB00032
</t>
  </si>
  <si>
    <t>C2 H Cl O11 P2 S2</t>
  </si>
  <si>
    <t>Secondary  Metabolites_Others_Others_PMDB00033_ 
Albomaculine</t>
  </si>
  <si>
    <t xml:space="preserve"> 
Albomaculine</t>
  </si>
  <si>
    <t>C08515</t>
  </si>
  <si>
    <t>PMDB00033</t>
  </si>
  <si>
    <t>C18 H39 N3 O3</t>
  </si>
  <si>
    <t>Secondary  Metabolites_Phenolics
_Minor Flavonoids_PMDB00565_Dracorubin</t>
  </si>
  <si>
    <t>Dracorubin</t>
  </si>
  <si>
    <t xml:space="preserve"> 
C09726</t>
  </si>
  <si>
    <t>PMDB00565</t>
  </si>
  <si>
    <t>C24 H49 N4 O4 P</t>
  </si>
  <si>
    <t>Secondary  Metabolites_Alkaloids_Other Alkaloids_PMDB00444_Belladonnine</t>
  </si>
  <si>
    <t>Belladonnine</t>
  </si>
  <si>
    <t xml:space="preserve"> 
C10845</t>
  </si>
  <si>
    <t>PMDB00444</t>
  </si>
  <si>
    <t>Secondary  Metabolites_Phenolics
_Isoflavonoids
_PMDB00881_ 
Lonchocarpenin</t>
  </si>
  <si>
    <t xml:space="preserve"> 
Lonchocarpenin</t>
  </si>
  <si>
    <t xml:space="preserve"> 
C10491</t>
  </si>
  <si>
    <t>PMDB00881</t>
  </si>
  <si>
    <t>Secondary  Metabolites_Alkaloids_Diterpenoid Alkaloids
_PMDB00123_Karakoline</t>
  </si>
  <si>
    <t>Karakoline</t>
  </si>
  <si>
    <t xml:space="preserve"> 
C08693</t>
  </si>
  <si>
    <t>PMDB00123</t>
  </si>
  <si>
    <t>C6 H17 N7 O8 P2</t>
  </si>
  <si>
    <t>Secondary  Metabolites_Alkaloids_Other Alkaloids_PMDB00314_ 
Deoxynupharidine</t>
  </si>
  <si>
    <t xml:space="preserve"> 
Deoxynupharidine</t>
  </si>
  <si>
    <t xml:space="preserve"> 
C09945</t>
  </si>
  <si>
    <t>PMDB00314</t>
  </si>
  <si>
    <t>Secondary  Metabolites_Phenolics
_Quinones
_PMDB00797_ 
Anthragallol</t>
  </si>
  <si>
    <t xml:space="preserve"> 
Anthragallol</t>
  </si>
  <si>
    <t xml:space="preserve"> 
C10297</t>
  </si>
  <si>
    <t>PMDB00797</t>
  </si>
  <si>
    <t>Secondary  Metabolites_Alkaloids_Other Alkaloids_ 
PMDB00297_alpha-Obscurine</t>
  </si>
  <si>
    <t>alpha-Obscurine</t>
  </si>
  <si>
    <t>C09889</t>
  </si>
  <si>
    <t xml:space="preserve"> 
PMDB00297</t>
  </si>
  <si>
    <t>Secondary  Metabolites_Alkaloids_Other Alkaloids_ 
PMDB00324_beta-Skytanthine</t>
  </si>
  <si>
    <t>beta-Skytanthine</t>
  </si>
  <si>
    <t xml:space="preserve"> 
C09987</t>
  </si>
  <si>
    <t xml:space="preserve"> 
PMDB00324</t>
  </si>
  <si>
    <t>Secondary  Metabolites_Alkaloids_Peptide Alkaloids_ 
PMDB00343_Lasiodine A</t>
  </si>
  <si>
    <t>Lasiodine A</t>
  </si>
  <si>
    <t>C10008</t>
  </si>
  <si>
    <t xml:space="preserve"> 
PMDB00343</t>
  </si>
  <si>
    <t>C48 H32 N2 O2 S</t>
  </si>
  <si>
    <t>Secondary  Metabolites_Terpenoids_Other Terpenoids_PMDB00781_Euphol</t>
  </si>
  <si>
    <t>Euphol</t>
  </si>
  <si>
    <t xml:space="preserve"> 
C08624</t>
  </si>
  <si>
    <t>PMDB00781</t>
  </si>
  <si>
    <t>C23 H47 N4 O P</t>
  </si>
  <si>
    <t>Secondary  Metabolites_Alkaloids_Other Alkaloids_PMDB00469_Scopoline</t>
  </si>
  <si>
    <t>Scopoline</t>
  </si>
  <si>
    <t xml:space="preserve">  
C10866
</t>
  </si>
  <si>
    <t>PMDB00469</t>
  </si>
  <si>
    <t>Secondary  Metabolites_Terpenoids_Diterpenoids_PMDB00624_Carnosol</t>
  </si>
  <si>
    <t>Carnosol</t>
  </si>
  <si>
    <t xml:space="preserve"> 
C09069</t>
  </si>
  <si>
    <t>PMDB00624</t>
  </si>
  <si>
    <t>Secondary  Metabolites_Terpenoids_Carotenoids_PMDB00756_Eschscholtzxanthin</t>
  </si>
  <si>
    <t>Eschscholtzxanthin</t>
  </si>
  <si>
    <t xml:space="preserve"> 
C08593</t>
  </si>
  <si>
    <t>PMDB00756</t>
  </si>
  <si>
    <t>C41 H58 O</t>
  </si>
  <si>
    <t xml:space="preserve">Secondary  Metabolites_Alkaloids_Indole Alkaloids_PMDB00224_Hodgkinsine
</t>
  </si>
  <si>
    <t xml:space="preserve">Hodgkinsine
</t>
  </si>
  <si>
    <t xml:space="preserve"> 
C09211</t>
  </si>
  <si>
    <t>PMDB00224</t>
  </si>
  <si>
    <t>Secondary  Metabolites_Terpenoids_Carotenoids_PMDB00773_ 
Zeaxanthin</t>
  </si>
  <si>
    <t xml:space="preserve"> 
Zeaxanthin</t>
  </si>
  <si>
    <t xml:space="preserve"> 
C06098</t>
  </si>
  <si>
    <t>PMDB00773</t>
  </si>
  <si>
    <t>C36 H44 N2 O4</t>
  </si>
  <si>
    <t>Secondary  Metabolites_Others_Others_PMDB00035_ 
Ambelline</t>
  </si>
  <si>
    <t xml:space="preserve"> 
Ambelline</t>
  </si>
  <si>
    <t xml:space="preserve"> 
C08517</t>
  </si>
  <si>
    <t>PMDB00035</t>
  </si>
  <si>
    <t>C6 H18 N7 O7 P</t>
  </si>
  <si>
    <t xml:space="preserve">Secondary  Metabolites_Phenolics
_Benzofurans
_PMDB00538
_6-Hydroxytremetone
</t>
  </si>
  <si>
    <t xml:space="preserve">6-Hydroxytremetone
</t>
  </si>
  <si>
    <t xml:space="preserve"> 
C08744</t>
  </si>
  <si>
    <t xml:space="preserve">PMDB00538
</t>
  </si>
  <si>
    <t>C5 H14 N8 O2</t>
  </si>
  <si>
    <t>Secondary  Metabolites_Alkaloids_Other Alkaloids_PMDB00457
_Darlingine</t>
  </si>
  <si>
    <t>Darlingine</t>
  </si>
  <si>
    <t xml:space="preserve"> 
C10857</t>
  </si>
  <si>
    <t xml:space="preserve">PMDB00457
</t>
  </si>
  <si>
    <t>[2M+FA-H]-1</t>
  </si>
  <si>
    <t>C8 H5 N5 O3</t>
  </si>
  <si>
    <t>Secondary  Metabolites_Phenolics
_Quinones
_PMDB00809
_Coleone A</t>
  </si>
  <si>
    <t>Coleone A</t>
  </si>
  <si>
    <t xml:space="preserve"> 
C10317</t>
  </si>
  <si>
    <t xml:space="preserve">PMDB00809
</t>
  </si>
  <si>
    <t>C23 H34 O3</t>
  </si>
  <si>
    <t>Secondary  Metabolites_Terpenoids_Other Terpenoids_PMDB00789_Taraxasterol</t>
  </si>
  <si>
    <t>Taraxasterol</t>
  </si>
  <si>
    <t xml:space="preserve"> 
C08636</t>
  </si>
  <si>
    <t>PMDB00789</t>
  </si>
  <si>
    <t>C8 H19 Br Cl N5 O6 S</t>
  </si>
  <si>
    <t>Secondary  Metabolites_Alkaloids_Acridone Alkaloids_ 
PMDB00367_ 
Atalanine</t>
  </si>
  <si>
    <t xml:space="preserve"> 
Atalanine</t>
  </si>
  <si>
    <t xml:space="preserve"> 
C10644</t>
  </si>
  <si>
    <t xml:space="preserve"> 
PMDB00367</t>
  </si>
  <si>
    <t>C32 H62 N6 O5</t>
  </si>
  <si>
    <t>Hormones_Gibberellins
_Gibberellins
_PMDB00988_GA38</t>
  </si>
  <si>
    <t>GA38</t>
  </si>
  <si>
    <t>PMDB00988</t>
  </si>
  <si>
    <t>Secondary  Metabolites_Alkaloids_Other Alkaloids_PMDB00299_Oxolucidine B</t>
  </si>
  <si>
    <t>Oxolucidine B</t>
  </si>
  <si>
    <t xml:space="preserve"> 
C09891</t>
  </si>
  <si>
    <t>PMDB00299</t>
  </si>
  <si>
    <t>C24 H49 N7 O3</t>
  </si>
  <si>
    <t>Secondary  Metabolites_Alkaloids_Other Alkaloids_ 
PMDB00321_Gentioflavine</t>
  </si>
  <si>
    <t>Gentioflavine</t>
  </si>
  <si>
    <t xml:space="preserve"> 
C09962</t>
  </si>
  <si>
    <t xml:space="preserve"> 
PMDB00321</t>
  </si>
  <si>
    <t>Secondary  Metabolites_Alkaloids_Diterpenoid Alkaloids
_PMDB00113_Falaconitine</t>
  </si>
  <si>
    <t>Falaconitine</t>
  </si>
  <si>
    <t xml:space="preserve"> 
C08683</t>
  </si>
  <si>
    <t>PMDB00113</t>
  </si>
  <si>
    <t>C35 H63 N7 O S</t>
  </si>
  <si>
    <t>Secondary  Metabolites_Phenolics
_Minor Flavonoids_PMDB00581_ 
Kolaflavanone</t>
  </si>
  <si>
    <t xml:space="preserve"> 
Kolaflavanone</t>
  </si>
  <si>
    <t xml:space="preserve"> 
C09761</t>
  </si>
  <si>
    <t>PMDB00581</t>
  </si>
  <si>
    <t>C25 H59 N4 O5 P3</t>
  </si>
  <si>
    <t>Hormones_Brassinosteroids_Brassinosteroids_PMDB00942_ 
(22a)-hydroxy-5a-campestan-3-one</t>
  </si>
  <si>
    <t xml:space="preserve"> 
(22a)-hydroxy-5a-campestan-3-one</t>
  </si>
  <si>
    <t>PMDB00942</t>
  </si>
  <si>
    <t>C17 H41 N10 P</t>
  </si>
  <si>
    <t>Secondary  Metabolites_Alkaloids_Diterpenoid Alkaloids
_PMDB00092
_Barbinine</t>
  </si>
  <si>
    <t>Barbinine</t>
  </si>
  <si>
    <t xml:space="preserve"> 
C08662</t>
  </si>
  <si>
    <t xml:space="preserve">PMDB00092
</t>
  </si>
  <si>
    <t>C31 H38 O16</t>
  </si>
  <si>
    <t>Secondary  Metabolites_Terpenoids_Carotenoids_PMDB00748_ 
Canthaxanthin</t>
  </si>
  <si>
    <t xml:space="preserve"> 
Canthaxanthin</t>
  </si>
  <si>
    <t xml:space="preserve"> 
C08583</t>
  </si>
  <si>
    <t>PMDB00748</t>
  </si>
  <si>
    <t>C19 H41 Cl N6 O7 S2</t>
  </si>
  <si>
    <t>Secondary  Metabolites_Alkaloids_Indole Alkaloids_PMDB00163_Apparicine</t>
  </si>
  <si>
    <t>Apparicine</t>
  </si>
  <si>
    <t xml:space="preserve"> 
C09036</t>
  </si>
  <si>
    <t>PMDB00163</t>
  </si>
  <si>
    <t>Hormones_Gibberellins
_Gibberellins
_PMDB00973_Gibberellin A15 open lactone</t>
  </si>
  <si>
    <t>Gibberellin A15 open lactone</t>
  </si>
  <si>
    <t xml:space="preserve"> 
C11860</t>
  </si>
  <si>
    <t>PMDB00973</t>
  </si>
  <si>
    <t>Secondary  Metabolites_Alkaloids_Other Alkaloids_ 
PMDB00327_ 
Thiobinupharidine</t>
  </si>
  <si>
    <t xml:space="preserve"> 
Thiobinupharidine</t>
  </si>
  <si>
    <t xml:space="preserve"> 
C09990</t>
  </si>
  <si>
    <t xml:space="preserve"> 
PMDB00327</t>
  </si>
  <si>
    <t>Secondary  Metabolites_Alkaloids_Other Alkaloids_PMDB00485
_ 
Alpinine</t>
  </si>
  <si>
    <t xml:space="preserve"> 
Alpinine</t>
  </si>
  <si>
    <t xml:space="preserve"> 
C09331</t>
  </si>
  <si>
    <t xml:space="preserve">PMDB00485
</t>
  </si>
  <si>
    <t>C26 H45 N3 O</t>
  </si>
  <si>
    <t>Secondary  Metabolites_Phenolics
_Minor Flavonoids_PMDB00558_ 
Broussin</t>
  </si>
  <si>
    <t xml:space="preserve"> 
Broussin</t>
  </si>
  <si>
    <t xml:space="preserve"> 
C09505</t>
  </si>
  <si>
    <t>PMDB00558</t>
  </si>
  <si>
    <t>C12 H20 N2 O4</t>
  </si>
  <si>
    <t>Secondary  Metabolites_Alkaloids_Diterpenoid Alkaloids
_PMDB00130_Napelline</t>
  </si>
  <si>
    <t>Napelline</t>
  </si>
  <si>
    <t xml:space="preserve"> 
C08700</t>
  </si>
  <si>
    <t>PMDB00130</t>
  </si>
  <si>
    <t>C16 H34 N5 O2 P</t>
  </si>
  <si>
    <t>Secondary  Metabolites_Alkaloids_Other Alkaloids_ 
PMDB00384_Argentine</t>
  </si>
  <si>
    <t>Argentine</t>
  </si>
  <si>
    <t xml:space="preserve"> 
C10753</t>
  </si>
  <si>
    <t xml:space="preserve"> 
PMDB00384</t>
  </si>
  <si>
    <t>C24 H42 N2 O3</t>
  </si>
  <si>
    <t>Secondary  Metabolites_Terpenoids_Steroid Saponins_PMDB00692_Asparagoside A</t>
  </si>
  <si>
    <t>Asparagoside A</t>
  </si>
  <si>
    <t xml:space="preserve"> 
C08886</t>
  </si>
  <si>
    <t>PMDB00692</t>
  </si>
  <si>
    <t>Secondary  Metabolites_Phenolics
_Minor Flavonoids_PMDB00587_Neohesperidin</t>
  </si>
  <si>
    <t>Neohesperidin</t>
  </si>
  <si>
    <t xml:space="preserve"> 
C09806</t>
  </si>
  <si>
    <t>PMDB00587</t>
  </si>
  <si>
    <t>Secondary  Metabolites_Terpenoids_Triterpenoid Saponins_PMDB00679_alpha-Hederin</t>
  </si>
  <si>
    <t>alpha-Hederin</t>
  </si>
  <si>
    <t>C08954</t>
  </si>
  <si>
    <t>PMDB00679</t>
  </si>
  <si>
    <t>C41 H83 O9 P</t>
  </si>
  <si>
    <t>Secondary  Metabolites_Alkaloids_Diterpenoid Alkaloids
_PMDB00143
_Talatizamine</t>
  </si>
  <si>
    <t>Talatizamine</t>
  </si>
  <si>
    <t xml:space="preserve"> 
C08713</t>
  </si>
  <si>
    <t xml:space="preserve">PMDB00143
</t>
  </si>
  <si>
    <t>C31 H19 N O</t>
  </si>
  <si>
    <t>Secondary  Metabolites_Alkaloids_Other Alkaloids_ 
PMDB00281_ 
Cernuine</t>
  </si>
  <si>
    <t xml:space="preserve"> 
Cernuine</t>
  </si>
  <si>
    <t xml:space="preserve"> 
C09860</t>
  </si>
  <si>
    <t xml:space="preserve"> 
PMDB00281</t>
  </si>
  <si>
    <t>C12 H31 N4 P</t>
  </si>
  <si>
    <t>Secondary  Metabolites_Alkaloids_Peptide Alkaloids_ 
PMDB00336_Ceanothine B</t>
  </si>
  <si>
    <t>Ceanothine B</t>
  </si>
  <si>
    <t xml:space="preserve"> 
C10001</t>
  </si>
  <si>
    <t xml:space="preserve"> 
PMDB00336</t>
  </si>
  <si>
    <t>C34 H48 O S</t>
  </si>
  <si>
    <t>Secondary  Metabolites_Alkaloids_Indole Alkaloids_ 
PMDB00165_Aspidoalbine</t>
  </si>
  <si>
    <t>Aspidoalbine</t>
  </si>
  <si>
    <t xml:space="preserve"> 
C09038</t>
  </si>
  <si>
    <t xml:space="preserve"> 
PMDB00165</t>
  </si>
  <si>
    <t>Hormones_Cytokinins_Cytokinins_PMDB01022_Kinetin</t>
  </si>
  <si>
    <t>Kinetin</t>
  </si>
  <si>
    <t xml:space="preserve"> 
C08272</t>
  </si>
  <si>
    <t>PMDB01022</t>
  </si>
  <si>
    <t>Hormones_Abscisic acid
_Abscisic acid
_PMDB01013_ 
neophaseic acid</t>
  </si>
  <si>
    <t xml:space="preserve"> 
neophaseic acid</t>
  </si>
  <si>
    <t>PMDB01013</t>
  </si>
  <si>
    <t xml:space="preserve">Hormones_Gibberellins
_Gibberellins
_PMDB00976_Gibberellin A1
</t>
  </si>
  <si>
    <t xml:space="preserve">Gibberellin A1
</t>
  </si>
  <si>
    <t xml:space="preserve"> 
C00859</t>
  </si>
  <si>
    <t>PMDB00976</t>
  </si>
  <si>
    <t>Secondary  Metabolites_Phenolics
_Tannins
_PMDB00939_Pedunculagin</t>
  </si>
  <si>
    <t>Pedunculagin</t>
  </si>
  <si>
    <t xml:space="preserve"> 
C10236</t>
  </si>
  <si>
    <t>PMDB00939</t>
  </si>
  <si>
    <t>C45 H87 O4 P3</t>
  </si>
  <si>
    <t>Secondary  Metabolites_Alkaloids_Other Alkaloids_PMDB00497_ 
Atherospermidine</t>
  </si>
  <si>
    <t xml:space="preserve"> 
Atherospermidine</t>
  </si>
  <si>
    <t xml:space="preserve"> 
C09347</t>
  </si>
  <si>
    <t>PMDB00497</t>
  </si>
  <si>
    <t>C13 H5 Cl N P S2</t>
  </si>
  <si>
    <t>Secondary  Metabolites_Others_Others_PMDB00050_Lycorine</t>
  </si>
  <si>
    <t>Lycorine</t>
  </si>
  <si>
    <t xml:space="preserve"> 
C08532</t>
  </si>
  <si>
    <t>PMDB00050</t>
  </si>
  <si>
    <t>Secondary  Metabolites_Terpenoids_Steroid Saponins_PMDB00713_Tigogenin</t>
  </si>
  <si>
    <t>Tigogenin</t>
  </si>
  <si>
    <t xml:space="preserve"> 
C08914</t>
  </si>
  <si>
    <t>PMDB00713</t>
  </si>
  <si>
    <t>C25 H25 N2 O2 P</t>
  </si>
  <si>
    <t>Secondary  Metabolites_Phenolics
_Benzofurans
_PMDB00545_ 
Sainfuran</t>
  </si>
  <si>
    <t xml:space="preserve"> 
Sainfuran</t>
  </si>
  <si>
    <t xml:space="preserve"> 
C08974</t>
  </si>
  <si>
    <t>PMDB00545</t>
  </si>
  <si>
    <t>Hormones_Gibberellins
_Gibberellins
_PMDB01000_GA97</t>
  </si>
  <si>
    <t>GA97</t>
  </si>
  <si>
    <t>PMDB01000</t>
  </si>
  <si>
    <t>C17 H35 O2 P3</t>
  </si>
  <si>
    <t>Secondary  Metabolites_Others_Others_PMDB00026_quercitrin</t>
  </si>
  <si>
    <t>quercitrin</t>
  </si>
  <si>
    <t xml:space="preserve"> 
C01750</t>
  </si>
  <si>
    <t>PMDB00026</t>
  </si>
  <si>
    <t>C27 H28 O6</t>
  </si>
  <si>
    <t>Secondary  Metabolites_Others_Others_PMDB00002_Quercetin</t>
  </si>
  <si>
    <t>Quercetin</t>
  </si>
  <si>
    <t xml:space="preserve"> 
C00389</t>
  </si>
  <si>
    <t>PMDB00002</t>
  </si>
  <si>
    <t>C6 H21 N6 O2 P3</t>
  </si>
  <si>
    <t>Hormones_Auxins_Auxins_PMDB01021_1-naphthaleneacetic acid (NAA)</t>
  </si>
  <si>
    <t>1-naphthaleneacetic acid (NAA)</t>
  </si>
  <si>
    <t>PMDB01021</t>
  </si>
  <si>
    <t>Secondary  Metabolites_Alkaloids_Betalain Alkaloids_PMDB00057_Betanidin</t>
  </si>
  <si>
    <t>Betanidin</t>
  </si>
  <si>
    <t xml:space="preserve"> 
C08539  </t>
  </si>
  <si>
    <t>PMDB00057</t>
  </si>
  <si>
    <t>C16 H36 N8 O3</t>
  </si>
  <si>
    <t>Secondary  Metabolites_Phenolics
_Anthocyanins
_PMDB00507_ 
Capensinidin</t>
  </si>
  <si>
    <t xml:space="preserve"> 
Capensinidin</t>
  </si>
  <si>
    <t xml:space="preserve"> 
C08595</t>
  </si>
  <si>
    <t>PMDB00507</t>
  </si>
  <si>
    <t>Secondary  Metabolites_Alkaloids_Other Alkaloids_ 
PMDB00295_Magellanine</t>
  </si>
  <si>
    <t>Magellanine</t>
  </si>
  <si>
    <t xml:space="preserve"> 
C09886</t>
  </si>
  <si>
    <t xml:space="preserve"> 
PMDB00295</t>
  </si>
  <si>
    <t>Secondary  Metabolites_Alkaloids_Other Alkaloids_PMDB00489_Angoline</t>
  </si>
  <si>
    <t>Angoline</t>
  </si>
  <si>
    <t xml:space="preserve"> 
C09336</t>
  </si>
  <si>
    <t>PMDB00489</t>
  </si>
  <si>
    <t>Secondary  Metabolites_Alkaloids_Diterpenoid Alkaloids
_PMDB00097_Cardiopetalidine</t>
  </si>
  <si>
    <t>Cardiopetalidine</t>
  </si>
  <si>
    <t xml:space="preserve"> 
C08667</t>
  </si>
  <si>
    <t>PMDB00097</t>
  </si>
  <si>
    <t>C5 H16 Cl N9 O4 P2</t>
  </si>
  <si>
    <t>Secondary  Metabolites_Terpenoids_Diterpenoids_PMDB00631_ 
Ineketone</t>
  </si>
  <si>
    <t xml:space="preserve"> 
Ineketone</t>
  </si>
  <si>
    <t>C09110</t>
  </si>
  <si>
    <t>PMDB00631</t>
  </si>
  <si>
    <t>Secondary  Metabolites_Alkaloids_Indole Alkaloids_ 
PMDB00266_Usambarine</t>
  </si>
  <si>
    <t>Usambarine</t>
  </si>
  <si>
    <t xml:space="preserve"> 
C09250</t>
  </si>
  <si>
    <t xml:space="preserve"> 
PMDB00266</t>
  </si>
  <si>
    <t>Secondary  Metabolites_Alkaloids_Diterpenoid Alkaloids
_PMDB00107_Delphinine</t>
  </si>
  <si>
    <t>Delphinine</t>
  </si>
  <si>
    <t xml:space="preserve"> 
C08677</t>
  </si>
  <si>
    <t>PMDB00107</t>
  </si>
  <si>
    <t>C8 H7 N6 O16 P3 S2</t>
  </si>
  <si>
    <t>Secondary  Metabolites_Alkaloids_Indole Alkaloids_PMDB00171_ 
Baloxine</t>
  </si>
  <si>
    <t xml:space="preserve"> 
Baloxine</t>
  </si>
  <si>
    <t xml:space="preserve"> 
C09045</t>
  </si>
  <si>
    <t>PMDB00171</t>
  </si>
  <si>
    <t>C25 H36 O2</t>
  </si>
  <si>
    <t>Secondary  Metabolites_Alkaloids_Indole Alkaloids_PMDB00194_Cryptolepine</t>
  </si>
  <si>
    <t>Cryptolepine</t>
  </si>
  <si>
    <t>C09142</t>
  </si>
  <si>
    <t>PMDB00194</t>
  </si>
  <si>
    <t>Secondary  Metabolites_Terpenoids_Phytosterols_PMDB00721_Campesterol</t>
  </si>
  <si>
    <t>Campesterol</t>
  </si>
  <si>
    <t xml:space="preserve"> 
C01789</t>
  </si>
  <si>
    <t>PMDB00721</t>
  </si>
  <si>
    <t>Secondary  Metabolites_Terpenoids_Monoterpenoids_PMDB00663_ 
Pulegone</t>
  </si>
  <si>
    <t xml:space="preserve"> 
Pulegone</t>
  </si>
  <si>
    <t xml:space="preserve"> 
C09893</t>
  </si>
  <si>
    <t>PMDB00663</t>
  </si>
  <si>
    <t>Secondary  Metabolites_Alkaloids_Other Alkaloids_ 
PMDB00296_Megastachine</t>
  </si>
  <si>
    <t>Megastachine</t>
  </si>
  <si>
    <t xml:space="preserve"> 
C09888</t>
  </si>
  <si>
    <t xml:space="preserve"> 
PMDB00296</t>
  </si>
  <si>
    <t>Secondary  Metabolites_Alkaloids_Other Alkaloids_PMDB00464_Norhyoscyamine</t>
  </si>
  <si>
    <t>Norhyoscyamine</t>
  </si>
  <si>
    <t xml:space="preserve"> 
C10862</t>
  </si>
  <si>
    <t>PMDB00464</t>
  </si>
  <si>
    <t>Secondary  Metabolites_Alkaloids_Diterpenoid Alkaloids
_PMDB00106
_ 
Delcosine</t>
  </si>
  <si>
    <t xml:space="preserve"> 
Delcosine</t>
  </si>
  <si>
    <t xml:space="preserve"> 
C08676</t>
  </si>
  <si>
    <t xml:space="preserve">PMDB00106
</t>
  </si>
  <si>
    <t>C28 H15 N5 O2</t>
  </si>
  <si>
    <t>Secondary  Metabolites_Alkaloids_Diterpenoid Alkaloids
_PMDB00136_Septentrionine</t>
  </si>
  <si>
    <t>Septentrionine</t>
  </si>
  <si>
    <t xml:space="preserve"> 
C08706</t>
  </si>
  <si>
    <t>PMDB00136</t>
  </si>
  <si>
    <t>C48 H60 O P2</t>
  </si>
  <si>
    <t>Secondary  Metabolites_Alkaloids_Indole Alkaloids_ 
PMDB00232_Melosatin A</t>
  </si>
  <si>
    <t>Melosatin A</t>
  </si>
  <si>
    <t>C09221</t>
  </si>
  <si>
    <t xml:space="preserve"> 
PMDB00232</t>
  </si>
  <si>
    <t>C6 H21 N5 O8 P2</t>
  </si>
  <si>
    <t>Secondary  Metabolites_Alkaloids_Diterpenoid Alkaloids
_PMDB00110_Denudatine</t>
  </si>
  <si>
    <t>Denudatine</t>
  </si>
  <si>
    <t xml:space="preserve"> 
C08680</t>
  </si>
  <si>
    <t>PMDB00110</t>
  </si>
  <si>
    <t>C18 H34 N O P S</t>
  </si>
  <si>
    <t>Secondary  Metabolites_Alkaloids_Indole Alkaloids_ 
PMDB00219_Gelsemine</t>
  </si>
  <si>
    <t>Gelsemine</t>
  </si>
  <si>
    <t xml:space="preserve"> 
C09207</t>
  </si>
  <si>
    <t xml:space="preserve"> 
PMDB00219</t>
  </si>
  <si>
    <t>Secondary  Metabolites_Alkaloids_Diterpenoid Alkaloids
_PMDB00099_Cassaidine</t>
  </si>
  <si>
    <t>Cassaidine</t>
  </si>
  <si>
    <t xml:space="preserve"> 
C08669</t>
  </si>
  <si>
    <t>PMDB00099</t>
  </si>
  <si>
    <t>Secondary  Metabolites_Phenolics
_Minor Flavonoids_PMDB00574_ 
Glycyphyllin</t>
  </si>
  <si>
    <t xml:space="preserve"> 
Glycyphyllin</t>
  </si>
  <si>
    <t xml:space="preserve"> 
C09754</t>
  </si>
  <si>
    <t>PMDB00574</t>
  </si>
  <si>
    <t>C21 H24 O9</t>
  </si>
  <si>
    <t>Secondary  Metabolites_Phenolics
_Anthocyanins
_PMDB00513_ 
Hirsutidin</t>
  </si>
  <si>
    <t xml:space="preserve"> 
Hirsutidin</t>
  </si>
  <si>
    <t xml:space="preserve"> 
C08643</t>
  </si>
  <si>
    <t>PMDB00513</t>
  </si>
  <si>
    <t xml:space="preserve">Secondary  Metabolites_Alkaloids_Other Alkaloids_PMDB00443_Atropine
</t>
  </si>
  <si>
    <t xml:space="preserve">Atropine
</t>
  </si>
  <si>
    <t xml:space="preserve"> 
C01479</t>
  </si>
  <si>
    <t>PMDB00443</t>
  </si>
  <si>
    <t>C9 H17 N5 O2 P2</t>
  </si>
  <si>
    <t>Secondary  Metabolites_Alkaloids_Other Alkaloids_PMDB00436_ 
Veratramine</t>
  </si>
  <si>
    <t xml:space="preserve"> 
Veratramine</t>
  </si>
  <si>
    <t xml:space="preserve"> 
C10829</t>
  </si>
  <si>
    <t>PMDB00436</t>
  </si>
  <si>
    <t xml:space="preserve">Secondary  Metabolites_Alkaloids_Indole Alkaloids_ 
PMDB00158_Amataine
</t>
  </si>
  <si>
    <t xml:space="preserve">Amataine
</t>
  </si>
  <si>
    <t>C08433</t>
  </si>
  <si>
    <t xml:space="preserve"> 
PMDB00158</t>
  </si>
  <si>
    <t>C31 H63 N2 O8 P3 S</t>
  </si>
  <si>
    <t>Secondary  Metabolites_Alkaloids_Indole Alkaloids_ 
PMDB00174_ 
Borrecapine</t>
  </si>
  <si>
    <t xml:space="preserve"> 
Borrecapine</t>
  </si>
  <si>
    <t>C09051</t>
  </si>
  <si>
    <t xml:space="preserve"> 
PMDB00174</t>
  </si>
  <si>
    <t>Secondary  Metabolites_Terpenoids_Carotenoids_PMDB00765_Neoxanthin</t>
  </si>
  <si>
    <t>Neoxanthin</t>
  </si>
  <si>
    <t>C08606</t>
  </si>
  <si>
    <t>PMDB00765</t>
  </si>
  <si>
    <t>C26 H53 N10 O2 P S</t>
  </si>
  <si>
    <t>Secondary  Metabolites_Alkaloids_Diterpenoid Alkaloids
_PMDB00145_Tricornine</t>
  </si>
  <si>
    <t>Tricornine</t>
  </si>
  <si>
    <t xml:space="preserve"> 
C08715</t>
  </si>
  <si>
    <t>PMDB00145</t>
  </si>
  <si>
    <t>C15 H22 Br N4 O3 P3 S</t>
  </si>
  <si>
    <t>Secondary  Metabolites_Terpenoids_Other Terpenoids_PMDB00786_Pristimerin</t>
  </si>
  <si>
    <t>Pristimerin</t>
  </si>
  <si>
    <t xml:space="preserve"> 
C08633</t>
  </si>
  <si>
    <t>PMDB00786</t>
  </si>
  <si>
    <t>Secondary  Metabolites_Phenolics
_Flavones
_PMDB00605_Axillarin</t>
  </si>
  <si>
    <t>Axillarin</t>
  </si>
  <si>
    <t>C10021</t>
  </si>
  <si>
    <t>PMDB00605</t>
  </si>
  <si>
    <t>C23 H22 O S</t>
  </si>
  <si>
    <t>Secondary  Metabolites_Phenolics
_Isoflavonoids
_PMDB00870_Glabridin</t>
  </si>
  <si>
    <t>Glabridin</t>
  </si>
  <si>
    <t xml:space="preserve"> 
C10421</t>
  </si>
  <si>
    <t>PMDB00870</t>
  </si>
  <si>
    <t>C10 H16 N10 O3</t>
  </si>
  <si>
    <t>Secondary  Metabolites_Phenolics
_Quinones
_PMDB00835_ 
Lucidin</t>
  </si>
  <si>
    <t xml:space="preserve"> 
Lucidin</t>
  </si>
  <si>
    <t xml:space="preserve"> 
C10369</t>
  </si>
  <si>
    <t>PMDB00835</t>
  </si>
  <si>
    <t>C9 H14 N6 O4</t>
  </si>
  <si>
    <t>Secondary  Metabolites_Terpenoids_Other Terpenoids_PMDB00775_ 
beta-Amyrin</t>
  </si>
  <si>
    <t xml:space="preserve"> 
beta-Amyrin</t>
  </si>
  <si>
    <t xml:space="preserve"> 
C08616</t>
  </si>
  <si>
    <t>PMDB00775</t>
  </si>
  <si>
    <t>C25 H42 N6</t>
  </si>
  <si>
    <t xml:space="preserve">Secondary  Metabolites_Phenolics
_Anthocyanins
_PMDB00506_Butein
</t>
  </si>
  <si>
    <t xml:space="preserve">Butein
</t>
  </si>
  <si>
    <t xml:space="preserve"> 
C08578</t>
  </si>
  <si>
    <t>PMDB00506</t>
  </si>
  <si>
    <t>C8 H20 N10 O</t>
  </si>
  <si>
    <t>Secondary  Metabolites_Others_Others_PMDB00042_ 
Cavinine</t>
  </si>
  <si>
    <t xml:space="preserve"> 
Cavinine</t>
  </si>
  <si>
    <t xml:space="preserve"> 
C08524</t>
  </si>
  <si>
    <t>PMDB00042</t>
  </si>
  <si>
    <t>Secondary  Metabolites_Phenolics
_Quinones
_PMDB00827_ 
Hypericin</t>
  </si>
  <si>
    <t xml:space="preserve"> 
Hypericin</t>
  </si>
  <si>
    <t xml:space="preserve"> 
C07606</t>
  </si>
  <si>
    <t>PMDB00827</t>
  </si>
  <si>
    <t>C26 H44 N6 O4</t>
  </si>
  <si>
    <t>Secondary  Metabolites_Others_Others_PMDB00018_Glycyrrhizin</t>
  </si>
  <si>
    <t>Glycyrrhizin</t>
  </si>
  <si>
    <t xml:space="preserve"> 
C02284</t>
  </si>
  <si>
    <t>PMDB00018</t>
  </si>
  <si>
    <t>C42 H62 O16</t>
  </si>
  <si>
    <t>Secondary  Metabolites_Phenolics
_Quinones
_PMDB00823_Frangulin A</t>
  </si>
  <si>
    <t>Frangulin A</t>
  </si>
  <si>
    <t xml:space="preserve"> 
C10346</t>
  </si>
  <si>
    <t>PMDB00823</t>
  </si>
  <si>
    <t>Secondary  Metabolites_Alkaloids_Indole Alkaloids_PMDB00258_Tabersonine</t>
  </si>
  <si>
    <t>Tabersonine</t>
  </si>
  <si>
    <t xml:space="preserve"> 
C09244</t>
  </si>
  <si>
    <t>PMDB00258</t>
  </si>
  <si>
    <t>C20 H32 O4</t>
  </si>
  <si>
    <t>Secondary  Metabolites_Phenolics
_Tannins
_PMDB00935_Geraniin</t>
  </si>
  <si>
    <t>Geraniin</t>
  </si>
  <si>
    <t xml:space="preserve"> 
C10230</t>
  </si>
  <si>
    <t>PMDB00935</t>
  </si>
  <si>
    <t>C44 H81 N3 O15 P2</t>
  </si>
  <si>
    <t>Secondary  Metabolites_Terpenoids_Diterpenoids_PMDB00639_ 
Montanin</t>
  </si>
  <si>
    <t xml:space="preserve"> 
Montanin</t>
  </si>
  <si>
    <t xml:space="preserve"> 
C09135</t>
  </si>
  <si>
    <t>PMDB00639</t>
  </si>
  <si>
    <t>C26 H61 N10 O P</t>
  </si>
  <si>
    <t>Secondary  Metabolites_Others_Others_PMDB00014_ 
betaine</t>
  </si>
  <si>
    <t xml:space="preserve"> 
betaine</t>
  </si>
  <si>
    <t>C00719</t>
  </si>
  <si>
    <t>PMDB00014</t>
  </si>
  <si>
    <t>C6 H15 N O</t>
  </si>
  <si>
    <t>Secondary  Metabolites_Phenolics
_Minor Flavonoids_PMDB00596_Sanggenon C</t>
  </si>
  <si>
    <t>Sanggenon C</t>
  </si>
  <si>
    <t xml:space="preserve"> 
C09834</t>
  </si>
  <si>
    <t>PMDB00596</t>
  </si>
  <si>
    <t>C40 H69 O8 P</t>
  </si>
  <si>
    <t>Secondary  Metabolites_Alkaloids_Betalain Alkaloids_PMDB00069_Miraxanthin-I</t>
  </si>
  <si>
    <t>Miraxanthin-I</t>
  </si>
  <si>
    <t xml:space="preserve"> 
C08554</t>
  </si>
  <si>
    <t>PMDB00069</t>
  </si>
  <si>
    <t>Secondary  Metabolites_Others_Others_PMDB00054_ 
Pretazettine</t>
  </si>
  <si>
    <t xml:space="preserve"> 
Pretazettine</t>
  </si>
  <si>
    <t xml:space="preserve"> 
C08536</t>
  </si>
  <si>
    <t>PMDB00054</t>
  </si>
  <si>
    <t>C6 H14 Cl N7 O7</t>
  </si>
  <si>
    <t>Secondary  Metabolites_Phenolics
_Quinones
_PMDB00843_Prenylbenzoquinone</t>
  </si>
  <si>
    <t>Prenylbenzoquinone</t>
  </si>
  <si>
    <t xml:space="preserve"> 
C10389</t>
  </si>
  <si>
    <t>PMDB00843</t>
  </si>
  <si>
    <t>Secondary  Metabolites_Terpenoids_Other Terpenoids_PMDB00780_ 
alpha-Elemolic acid</t>
  </si>
  <si>
    <t xml:space="preserve"> 
alpha-Elemolic acid</t>
  </si>
  <si>
    <t xml:space="preserve"> 
C08623</t>
  </si>
  <si>
    <t>PMDB00780</t>
  </si>
  <si>
    <t>Secondary  Metabolites_Terpenoids_Monoterpenoids_PMDB00657_Linalyl acetate</t>
  </si>
  <si>
    <t>Linalyl acetate</t>
  </si>
  <si>
    <t xml:space="preserve"> 
C09863</t>
  </si>
  <si>
    <t>PMDB00657</t>
  </si>
  <si>
    <t>Secondary  Metabolites_Alkaloids_Other Alkaloids_ 
PMDB00470_Strobamine</t>
  </si>
  <si>
    <t>Strobamine</t>
  </si>
  <si>
    <t xml:space="preserve"> 
C10867</t>
  </si>
  <si>
    <t xml:space="preserve"> 
PMDB00470</t>
  </si>
  <si>
    <t>Secondary  Metabolites_Terpenoids_Triterpenoid Saponins_PMDB00675_Flaccidin B</t>
  </si>
  <si>
    <t>Flaccidin B</t>
  </si>
  <si>
    <t xml:space="preserve"> 
C08943</t>
  </si>
  <si>
    <t>PMDB00675</t>
  </si>
  <si>
    <t>Secondary  Metabolites_Terpenoids_Monoterpenoids_PMDB00648_Geranial</t>
  </si>
  <si>
    <t>Geranial</t>
  </si>
  <si>
    <t xml:space="preserve"> 
C01499</t>
  </si>
  <si>
    <t>PMDB00648</t>
  </si>
  <si>
    <t>Secondary  Metabolites_Alkaloids_Other Alkaloids_ 
PMDB00309_Cassinine</t>
  </si>
  <si>
    <t>Cassinine</t>
  </si>
  <si>
    <t xml:space="preserve"> 
C09934</t>
  </si>
  <si>
    <t xml:space="preserve"> 
PMDB00309</t>
  </si>
  <si>
    <t>C40 H83 N9 O11</t>
  </si>
  <si>
    <t>Secondary  Metabolites_Alkaloids_Indole Alkaloids_PMDB00249_Reserpine</t>
  </si>
  <si>
    <t>Reserpine</t>
  </si>
  <si>
    <t xml:space="preserve"> 
C06539</t>
  </si>
  <si>
    <t>PMDB00249</t>
  </si>
  <si>
    <t>Secondary  Metabolites_Phenolics
_Quinones
_PMDB00836_ 
Mansonone C</t>
  </si>
  <si>
    <t xml:space="preserve"> 
Mansonone C</t>
  </si>
  <si>
    <t xml:space="preserve"> 
C10371</t>
  </si>
  <si>
    <t>PMDB00836</t>
  </si>
  <si>
    <t>C3 H9 Cl N6 S2</t>
  </si>
  <si>
    <t>Secondary  Metabolites_Alkaloids_Indole Alkaloids_ 
PMDB00275_Yohimbine</t>
  </si>
  <si>
    <t>Yohimbine</t>
  </si>
  <si>
    <t xml:space="preserve"> 
C09256</t>
  </si>
  <si>
    <t xml:space="preserve"> 
PMDB00275</t>
  </si>
  <si>
    <t>Secondary  Metabolites_Phenolics
_Tannins
_PMDB00937_Mahuannin D</t>
  </si>
  <si>
    <t>Mahuannin D</t>
  </si>
  <si>
    <t>C10234</t>
  </si>
  <si>
    <t>PMDB00937</t>
  </si>
  <si>
    <t>Secondary  Metabolites_Alkaloids_Other Alkaloids_ 
PMDB00407_Buxamine E</t>
  </si>
  <si>
    <t>Buxamine E</t>
  </si>
  <si>
    <t>C10795</t>
  </si>
  <si>
    <t xml:space="preserve"> 
PMDB00407</t>
  </si>
  <si>
    <t>C22 H44 N2 O3</t>
  </si>
  <si>
    <t>Secondary  Metabolites_Terpenoids_Carotenoids_PMDB00762_Lycopene</t>
  </si>
  <si>
    <t>Lycopene</t>
  </si>
  <si>
    <t xml:space="preserve"> 
C05432</t>
  </si>
  <si>
    <t>PMDB00762</t>
  </si>
  <si>
    <t>Secondary  Metabolites_Alkaloids_Other Alkaloids_ 
PMDB00320_ 
Gentianine</t>
  </si>
  <si>
    <t xml:space="preserve"> 
Gentianine</t>
  </si>
  <si>
    <t xml:space="preserve"> 
C06525</t>
  </si>
  <si>
    <t xml:space="preserve"> 
PMDB00320</t>
  </si>
  <si>
    <t>Secondary  Metabolites_Phenolics
_Anthocyanins
_ 
PMDB00516_ 
Isobavachalcone</t>
  </si>
  <si>
    <t xml:space="preserve"> 
Isobavachalcone</t>
  </si>
  <si>
    <t xml:space="preserve"> 
C08648</t>
  </si>
  <si>
    <t xml:space="preserve"> 
PMDB00516</t>
  </si>
  <si>
    <t>Secondary  Metabolites_Terpenoids_Monoterpenoids_PMDB00651_Diosphenol</t>
  </si>
  <si>
    <t>Diosphenol</t>
  </si>
  <si>
    <t xml:space="preserve"> 
C09854</t>
  </si>
  <si>
    <t>PMDB00651</t>
  </si>
  <si>
    <t>Hormones_Brassinosteroids_Brassinosteroids_PMDB00947_24-epi-campesterol</t>
  </si>
  <si>
    <t>24-epi-campesterol</t>
  </si>
  <si>
    <t>PMDB00947</t>
  </si>
  <si>
    <t>C10 H29 N10 O P S2</t>
  </si>
  <si>
    <t>Secondary  Metabolites_Alkaloids_Other Alkaloids_PMDB00422_Protoveratrine A</t>
  </si>
  <si>
    <t>Protoveratrine A</t>
  </si>
  <si>
    <t xml:space="preserve"> 
C10815</t>
  </si>
  <si>
    <t>PMDB00422</t>
  </si>
  <si>
    <t>C31 H58 N9 O7 P3 S</t>
  </si>
  <si>
    <t>Secondary  Metabolites_Terpenoids_Monoterpenoids_PMDB00664_Thujone</t>
  </si>
  <si>
    <t>Thujone</t>
  </si>
  <si>
    <t>C09906</t>
  </si>
  <si>
    <t>PMDB00664</t>
  </si>
  <si>
    <t>Secondary  Metabolites_Phenolics
_Anthocyanins
_ 
PMDB00501_Abyssinone VI</t>
  </si>
  <si>
    <t>Abyssinone VI</t>
  </si>
  <si>
    <t xml:space="preserve"> 
C08573</t>
  </si>
  <si>
    <t xml:space="preserve"> 
PMDB00501</t>
  </si>
  <si>
    <t>Secondary  Metabolites_Alkaloids_Diterpenoid Alkaloids
_PMDB00146_Veatchine</t>
  </si>
  <si>
    <t>Veatchine</t>
  </si>
  <si>
    <t xml:space="preserve"> 
C06092</t>
  </si>
  <si>
    <t>PMDB00146</t>
  </si>
  <si>
    <t>C11 H4 Cl2 N2 O P2 S</t>
  </si>
  <si>
    <t>Secondary  Metabolites_Terpenoids_Carotenoids_PMDB00744_Antheraxanthin</t>
  </si>
  <si>
    <t>Antheraxanthin</t>
  </si>
  <si>
    <t xml:space="preserve">C08579
</t>
  </si>
  <si>
    <t>PMDB00744</t>
  </si>
  <si>
    <t>C34 H16 N8 O3</t>
  </si>
  <si>
    <t>Secondary  Metabolites_Terpenoids_Monoterpenoids_PMDB00660_Nerol</t>
  </si>
  <si>
    <t>Nerol</t>
  </si>
  <si>
    <t xml:space="preserve"> 
C09871</t>
  </si>
  <si>
    <t>PMDB00660</t>
  </si>
  <si>
    <t>Secondary  Metabolites_Terpenoids_Triterpenoid Saponins_PMDB00667_Aescin</t>
  </si>
  <si>
    <t>Aescin</t>
  </si>
  <si>
    <t xml:space="preserve"> 
C08921</t>
  </si>
  <si>
    <t>PMDB00667</t>
  </si>
  <si>
    <t>C64 H107 N7 O6 P2</t>
  </si>
  <si>
    <t>Secondary  Metabolites_Phenolics
_Minor Flavonoids_PMDB00600_Uvaretin</t>
  </si>
  <si>
    <t>Uvaretin</t>
  </si>
  <si>
    <t xml:space="preserve"> 
C09978</t>
  </si>
  <si>
    <t>PMDB00600</t>
  </si>
  <si>
    <t>Secondary  Metabolites_Alkaloids_Other Alkaloids_PMDB00493_Apoglaziovine</t>
  </si>
  <si>
    <t>Apoglaziovine</t>
  </si>
  <si>
    <t xml:space="preserve"> 
C09340</t>
  </si>
  <si>
    <t>PMDB00493</t>
  </si>
  <si>
    <t>Secondary  Metabolites_Alkaloids_Other Alkaloids_PMDB00474_Valeroidine</t>
  </si>
  <si>
    <t>Valeroidine</t>
  </si>
  <si>
    <t xml:space="preserve"> 
C10869</t>
  </si>
  <si>
    <t>PMDB00474</t>
  </si>
  <si>
    <t>Hormones_Brassinosteroids_Brassinosteroids_PMDB00950_6alpha-Hydroxy-castasterone</t>
  </si>
  <si>
    <t>6alpha-Hydroxy-castasterone</t>
  </si>
  <si>
    <t xml:space="preserve"> 
C15803</t>
  </si>
  <si>
    <t>PMDB00950</t>
  </si>
  <si>
    <t>C29 H15 N4 O P</t>
  </si>
  <si>
    <t>Secondary  Metabolites_Phenolics
_Minor Flavonoids_PMDB00573_Glabranin</t>
  </si>
  <si>
    <t>Glabranin</t>
  </si>
  <si>
    <t xml:space="preserve"> 
C09752</t>
  </si>
  <si>
    <t>PMDB00573</t>
  </si>
  <si>
    <t>C16 H24 N2 O S2</t>
  </si>
  <si>
    <t>Secondary  Metabolites_Alkaloids_Other Alkaloids_ 
PMDB00279_Annotinine</t>
  </si>
  <si>
    <t>Annotinine</t>
  </si>
  <si>
    <t xml:space="preserve"> 
C09855</t>
  </si>
  <si>
    <t xml:space="preserve"> 
PMDB00279</t>
  </si>
  <si>
    <t>Secondary  Metabolites_Terpenoids_Triterpenoid Saponins_PMDB00678_Gypsogenin</t>
  </si>
  <si>
    <t>Gypsogenin</t>
  </si>
  <si>
    <t xml:space="preserve"> 
C08950</t>
  </si>
  <si>
    <t>PMDB00678</t>
  </si>
  <si>
    <t>C32 H39 O P</t>
  </si>
  <si>
    <t>Secondary  Metabolites_Alkaloids_Other Alkaloids_PMDB00490_Ankorine</t>
  </si>
  <si>
    <t>Ankorine</t>
  </si>
  <si>
    <t>C09337</t>
  </si>
  <si>
    <t>PMDB00490</t>
  </si>
  <si>
    <t>C4 H14 N7 O9 P</t>
  </si>
  <si>
    <t>Secondary  Metabolites_Phenolics
_Anthocyanins
_PMDB00522_Malvidin</t>
  </si>
  <si>
    <t>Malvidin</t>
  </si>
  <si>
    <t xml:space="preserve"> 
C08716</t>
  </si>
  <si>
    <t>PMDB00522</t>
  </si>
  <si>
    <t>C3 H7 Cl N O7 P S3</t>
  </si>
  <si>
    <t>Hormones_Gibberellins
_Gibberellins
_PMDB00981_ 
Gibberellin A29</t>
  </si>
  <si>
    <t xml:space="preserve"> 
Gibberellin A29</t>
  </si>
  <si>
    <t>C06096</t>
  </si>
  <si>
    <t>PMDB00981</t>
  </si>
  <si>
    <t xml:space="preserve">Secondary  Metabolites_Terpenoids_Triterpenoid Saponins_PMDB00670_Camellidin I
</t>
  </si>
  <si>
    <t xml:space="preserve">Camellidin I
</t>
  </si>
  <si>
    <t xml:space="preserve"> 
C08933</t>
  </si>
  <si>
    <t>PMDB00670</t>
  </si>
  <si>
    <t>C73 H106 N6 O3 S</t>
  </si>
  <si>
    <t>Secondary  Metabolites_Alkaloids_Acridone Alkaloids_PMDB00370_Evoprenine</t>
  </si>
  <si>
    <t>Evoprenine</t>
  </si>
  <si>
    <t xml:space="preserve"> 
C10666</t>
  </si>
  <si>
    <t>PMDB00370</t>
  </si>
  <si>
    <t>Secondary  Metabolites_Terpenoids_Diterpenoids_PMDB00627_Coleonol</t>
  </si>
  <si>
    <t>Coleonol</t>
  </si>
  <si>
    <t xml:space="preserve"> 
C09076</t>
  </si>
  <si>
    <t>PMDB00627</t>
  </si>
  <si>
    <t>C23 H42 N2 O4</t>
  </si>
  <si>
    <t>Secondary  Metabolites_Phenolics
_Isoflavonoids
_PMDB00852_Afrormosin</t>
  </si>
  <si>
    <t>Afrormosin</t>
  </si>
  <si>
    <t xml:space="preserve"> 
C10199</t>
  </si>
  <si>
    <t>PMDB00852</t>
  </si>
  <si>
    <t>Secondary  Metabolites_Alkaloids_Peptide Alkaloids_PMDB00345_ 
Mucronine B</t>
  </si>
  <si>
    <t xml:space="preserve"> 
Mucronine B</t>
  </si>
  <si>
    <t xml:space="preserve"> 
C10010</t>
  </si>
  <si>
    <t>PMDB00345</t>
  </si>
  <si>
    <t>Hormones_Brassinosteroids_Brassinosteroids_PMDB00959_ 
Campest-5-en-3beta-ol</t>
  </si>
  <si>
    <t xml:space="preserve"> 
Campest-5-en-3beta-ol</t>
  </si>
  <si>
    <t>C01789</t>
  </si>
  <si>
    <t>PMDB00959</t>
  </si>
  <si>
    <t>C16 H28 N6 O6</t>
  </si>
  <si>
    <t>Secondary  Metabolites_Others_Others_PMDB00051_ 
Narciclasine</t>
  </si>
  <si>
    <t xml:space="preserve"> 
Narciclasine</t>
  </si>
  <si>
    <t xml:space="preserve"> 
C08533</t>
  </si>
  <si>
    <t>PMDB00051</t>
  </si>
  <si>
    <t>Secondary  Metabolites_Alkaloids_Other Alkaloids_PMDB00423_ 
Protoveratrine B</t>
  </si>
  <si>
    <t xml:space="preserve"> 
Protoveratrine B</t>
  </si>
  <si>
    <t xml:space="preserve"> 
C10816</t>
  </si>
  <si>
    <t>PMDB00423</t>
  </si>
  <si>
    <t>Hormones_Gibberellins
_Gibberellins
_PMDB00996_ 
Gibberellin A53</t>
  </si>
  <si>
    <t xml:space="preserve"> 
Gibberellin A53</t>
  </si>
  <si>
    <t>C06094</t>
  </si>
  <si>
    <t>PMDB00996</t>
  </si>
  <si>
    <t>Secondary  Metabolites_Alkaloids_Peptide Alkaloids_PMDB00333_Amphibine B</t>
  </si>
  <si>
    <t>Amphibine B</t>
  </si>
  <si>
    <t xml:space="preserve"> 
C09998</t>
  </si>
  <si>
    <t>PMDB00333</t>
  </si>
  <si>
    <t>C32 H60 N O11 P</t>
  </si>
  <si>
    <t>Hormones_Brassinosteroids_Brassinosteroids_PMDB00944_(22a)-hydroxy-campesterol</t>
  </si>
  <si>
    <t>(22a)-hydroxy-campesterol</t>
  </si>
  <si>
    <t xml:space="preserve"> 
C15795</t>
  </si>
  <si>
    <t>PMDB00944</t>
  </si>
  <si>
    <t>Secondary  Metabolites_Phenolics
_Flavones
_PMDB00607_Baicalein</t>
  </si>
  <si>
    <t>Baicalein</t>
  </si>
  <si>
    <t xml:space="preserve"> 
C10023</t>
  </si>
  <si>
    <t>PMDB00607</t>
  </si>
  <si>
    <t>C7 H12 O7 P2</t>
  </si>
  <si>
    <t>Secondary  Metabolites_Phenolics
_Isoflavonoids
_PMDB00892_Osajin</t>
  </si>
  <si>
    <t>Osajin</t>
  </si>
  <si>
    <t xml:space="preserve"> 
C10511</t>
  </si>
  <si>
    <t>PMDB00892</t>
  </si>
  <si>
    <t>Secondary  Metabolites_Terpenoids_Carotenoids_PMDB00769_ 
Rhodoxanthin</t>
  </si>
  <si>
    <t xml:space="preserve"> 
Rhodoxanthin</t>
  </si>
  <si>
    <t xml:space="preserve"> 
C08610</t>
  </si>
  <si>
    <t>PMDB00769</t>
  </si>
  <si>
    <t>C33 H54 O7</t>
  </si>
  <si>
    <t>Secondary  Metabolites_Terpenoids_Carotenoids_PMDB00772_Violaxanthin</t>
  </si>
  <si>
    <t>Violaxanthin</t>
  </si>
  <si>
    <t xml:space="preserve"> 
C08614</t>
  </si>
  <si>
    <t>PMDB00772</t>
  </si>
  <si>
    <t>Secondary  Metabolites_Phenolics
_Minor Flavonoids_PMDB00598_ 
Sophoranone</t>
  </si>
  <si>
    <t xml:space="preserve"> 
Sophoranone</t>
  </si>
  <si>
    <t xml:space="preserve"> 
C08719</t>
  </si>
  <si>
    <t>PMDB00598</t>
  </si>
  <si>
    <t>C3 H7 Cl N7 O10 P3 S</t>
  </si>
  <si>
    <t>Secondary  Metabolites_Phenolics
_Quinones
_PMDB00811_Cornudentanone</t>
  </si>
  <si>
    <t>Cornudentanone</t>
  </si>
  <si>
    <t xml:space="preserve"> 
C10320</t>
  </si>
  <si>
    <t>PMDB00811</t>
  </si>
  <si>
    <t>C23 H38 O4</t>
  </si>
  <si>
    <t>Secondary  Metabolites_Phenolics
_Tannins
_PMDB00930_Corilagin</t>
  </si>
  <si>
    <t>Corilagin</t>
  </si>
  <si>
    <t xml:space="preserve"> 
C10219</t>
  </si>
  <si>
    <t>PMDB00930</t>
  </si>
  <si>
    <t>C41 H54 N4 S</t>
  </si>
  <si>
    <t>Secondary  Metabolites_Alkaloids_Other Alkaloids_PMDB00484_ 
Allocryptopine</t>
  </si>
  <si>
    <t xml:space="preserve"> 
Allocryptopine</t>
  </si>
  <si>
    <t xml:space="preserve"> 
C02134</t>
  </si>
  <si>
    <t>PMDB00484</t>
  </si>
  <si>
    <t>C6 H21 N5 O9 P2</t>
  </si>
  <si>
    <t>Secondary  Metabolites_Alkaloids_Diterpenoid Alkaloids
_PMDB00091_Avadharidine</t>
  </si>
  <si>
    <t>Avadharidine</t>
  </si>
  <si>
    <t xml:space="preserve"> 
C08661</t>
  </si>
  <si>
    <t>PMDB00091</t>
  </si>
  <si>
    <t>Secondary  Metabolites_Phenolics
_Minor Flavonoids_PMDB00567_Eriocitrin</t>
  </si>
  <si>
    <t>Eriocitrin</t>
  </si>
  <si>
    <t xml:space="preserve"> 
C09732</t>
  </si>
  <si>
    <t>PMDB00567</t>
  </si>
  <si>
    <t xml:space="preserve">Secondary  Metabolites_Phenolics
_Anthocyanins
_PMDB00524_Maritimetin
</t>
  </si>
  <si>
    <t xml:space="preserve">Maritimetin
</t>
  </si>
  <si>
    <t>C08720</t>
  </si>
  <si>
    <t>PMDB00524</t>
  </si>
  <si>
    <t>Hormones_Cytokinins_Cytokinins_PMDB01023_ 
Forchlorfenuron</t>
  </si>
  <si>
    <t xml:space="preserve"> 
Forchlorfenuron</t>
  </si>
  <si>
    <t>PMDB01023</t>
  </si>
  <si>
    <t>Secondary  Metabolites_Phenolics
_Anthocyanins
_PMDB00526_Okanin</t>
  </si>
  <si>
    <t>Okanin</t>
  </si>
  <si>
    <t xml:space="preserve"> 
C08724</t>
  </si>
  <si>
    <t>PMDB00526</t>
  </si>
  <si>
    <t>Hormones_Brassinosteroids_Brassinosteroids_PMDB00962_ 
Teasterone</t>
  </si>
  <si>
    <t xml:space="preserve"> 
Teasterone</t>
  </si>
  <si>
    <t xml:space="preserve"> 
C15791</t>
  </si>
  <si>
    <t>PMDB00962</t>
  </si>
  <si>
    <t>Secondary  Metabolites_Phenolics
_Flavones
_PMDB00601_Acacetin</t>
  </si>
  <si>
    <t>Acacetin</t>
  </si>
  <si>
    <t xml:space="preserve"> 
C01470</t>
  </si>
  <si>
    <t>PMDB00601</t>
  </si>
  <si>
    <t>Secondary  Metabolites_Terpenoids_Diterpenoids_PMDB00619_ 
Allogibberic acid</t>
  </si>
  <si>
    <t xml:space="preserve"> 
Allogibberic acid</t>
  </si>
  <si>
    <t xml:space="preserve"> 
C09061</t>
  </si>
  <si>
    <t>PMDB00619</t>
  </si>
  <si>
    <t>Secondary  Metabolites_Phenolics
_Quinones
_PMDB00810_Conocurvone</t>
  </si>
  <si>
    <t>Conocurvone</t>
  </si>
  <si>
    <t xml:space="preserve"> 
C10318</t>
  </si>
  <si>
    <t>PMDB00810</t>
  </si>
  <si>
    <t>Secondary  Metabolites_Phenolics
_Anthocyanins
_PMDB00528_Pelargonin</t>
  </si>
  <si>
    <t>Pelargonin</t>
  </si>
  <si>
    <t xml:space="preserve"> 
C08725</t>
  </si>
  <si>
    <t>PMDB00528</t>
  </si>
  <si>
    <t>Secondary  Metabolites_Alkaloids_Other Alkaloids_ 
PMDB00401_Sophoramine</t>
  </si>
  <si>
    <t>Sophoramine</t>
  </si>
  <si>
    <t xml:space="preserve">C10782
</t>
  </si>
  <si>
    <t xml:space="preserve"> 
PMDB00401</t>
  </si>
  <si>
    <t>Secondary  Metabolites_Alkaloids_Other Alkaloids_PMDB00499_ 
Backebergine</t>
  </si>
  <si>
    <t xml:space="preserve"> 
Backebergine</t>
  </si>
  <si>
    <t xml:space="preserve"> 
C09348</t>
  </si>
  <si>
    <t>PMDB00499</t>
  </si>
  <si>
    <t>C6 H15 N5 O2</t>
  </si>
  <si>
    <t>Secondary  Metabolites_Alkaloids_Peptide Alkaloids_PMDB00350_Zizyphine A</t>
  </si>
  <si>
    <t>Zizyphine A</t>
  </si>
  <si>
    <t xml:space="preserve"> 
C10015</t>
  </si>
  <si>
    <t>PMDB00350</t>
  </si>
  <si>
    <t>Hormones_Gibberellins
_Gibberellins
_PMDB00993_ 
Gibberellin A4</t>
  </si>
  <si>
    <t xml:space="preserve"> 
Gibberellin A4</t>
  </si>
  <si>
    <t xml:space="preserve"> 
C11864</t>
  </si>
  <si>
    <t>PMDB00993</t>
  </si>
  <si>
    <t>Secondary  Metabolites_Others_Others_PMDB00028_lupeol</t>
  </si>
  <si>
    <t>lupeol</t>
  </si>
  <si>
    <t xml:space="preserve"> 
C08628</t>
  </si>
  <si>
    <t>PMDB00028</t>
  </si>
  <si>
    <t>[M+Cl]-1</t>
  </si>
  <si>
    <t>C26 H22 Cl N3 O</t>
  </si>
  <si>
    <t>Secondary  Metabolites_Terpenoids_Steroid Saponins_PMDB00701_ 
Dioscin</t>
  </si>
  <si>
    <t xml:space="preserve"> 
Dioscin</t>
  </si>
  <si>
    <t xml:space="preserve"> 
C08897</t>
  </si>
  <si>
    <t>PMDB00701</t>
  </si>
  <si>
    <t>Secondary  Metabolites_Terpenoids_Steroid Saponins_PMDB00714_Tigonin</t>
  </si>
  <si>
    <t>Tigonin</t>
  </si>
  <si>
    <t xml:space="preserve"> 
C08915</t>
  </si>
  <si>
    <t>PMDB00714</t>
  </si>
  <si>
    <t>C57 H109 N6 O16 P S</t>
  </si>
  <si>
    <t>Secondary  Metabolites_Alkaloids_Other Alkaloids_PMDB00463_Meteloidine</t>
  </si>
  <si>
    <t>Meteloidine</t>
  </si>
  <si>
    <t xml:space="preserve"> 
C10861</t>
  </si>
  <si>
    <t>PMDB00463</t>
  </si>
  <si>
    <t>C6 H11 N O6 P2</t>
  </si>
  <si>
    <t>Secondary  Metabolites_Terpenoids_Other Terpenoids_PMDB00783
_Hopane-29-acetate</t>
  </si>
  <si>
    <t>Hopane-29-acetate</t>
  </si>
  <si>
    <t xml:space="preserve"> 
C08627</t>
  </si>
  <si>
    <t xml:space="preserve">PMDB00783
</t>
  </si>
  <si>
    <t>C24 H47 N4 O3 P</t>
  </si>
  <si>
    <t xml:space="preserve">Secondary  Metabolites_Alkaloids_Diterpenoid Alkaloids
_PMDB00124_Lappaconitine
</t>
  </si>
  <si>
    <t xml:space="preserve">Lappaconitine
</t>
  </si>
  <si>
    <t>C08694</t>
  </si>
  <si>
    <t>PMDB00124</t>
  </si>
  <si>
    <t>Secondary  Metabolites_Alkaloids_Indole Alkaloids_ 
PMDB00274_Vomicine</t>
  </si>
  <si>
    <t>Vomicine</t>
  </si>
  <si>
    <t xml:space="preserve"> 
C09255</t>
  </si>
  <si>
    <t xml:space="preserve"> 
PMDB00274</t>
  </si>
  <si>
    <t>Secondary  Metabolites_Others_Others_ 
PMDB00022_arabinose</t>
  </si>
  <si>
    <t>arabinose</t>
  </si>
  <si>
    <t xml:space="preserve"> 
C00259</t>
  </si>
  <si>
    <t xml:space="preserve"> 
PMDB00022</t>
  </si>
  <si>
    <t>Secondary  Metabolites_Terpenoids_Carotenoids_PMDB00759_Helenien</t>
  </si>
  <si>
    <t>Helenien</t>
  </si>
  <si>
    <t xml:space="preserve"> 
C08597</t>
  </si>
  <si>
    <t>PMDB00759</t>
  </si>
  <si>
    <t>C42 H92 N6 O11 P2 S4</t>
  </si>
  <si>
    <t xml:space="preserve">Secondary  Metabolites_Alkaloids_Diterpenoid Alkaloids
_PMDB00094_Bikhaconitine
</t>
  </si>
  <si>
    <t xml:space="preserve">Bikhaconitine
</t>
  </si>
  <si>
    <t>C08664</t>
  </si>
  <si>
    <t>PMDB00094</t>
  </si>
  <si>
    <t>C28 H54 N9 O2 P3 S</t>
  </si>
  <si>
    <t>Secondary  Metabolites_Terpenoids_Monoterpenoids_PMDB00642_Borneol</t>
  </si>
  <si>
    <t>Borneol</t>
  </si>
  <si>
    <t xml:space="preserve"> 
C01411</t>
  </si>
  <si>
    <t>PMDB00642</t>
  </si>
  <si>
    <t>C5 H10 N6</t>
  </si>
  <si>
    <t>Secondary  Metabolites_Phenolics
_Anthocyanins
_PMDB00508_ 
Carthamone</t>
  </si>
  <si>
    <t xml:space="preserve"> 
Carthamone</t>
  </si>
  <si>
    <t xml:space="preserve"> 
C08598</t>
  </si>
  <si>
    <t>PMDB00508</t>
  </si>
  <si>
    <t>Secondary  Metabolites_Terpenoids_Carotenoids_PMDB00749_Capsanthin</t>
  </si>
  <si>
    <t>Capsanthin</t>
  </si>
  <si>
    <t xml:space="preserve"> 
C08584</t>
  </si>
  <si>
    <t>PMDB00749</t>
  </si>
  <si>
    <t>C25 H26 N6 O7 P2</t>
  </si>
  <si>
    <t>Secondary  Metabolites_Alkaloids_Peptide Alkaloids_ 
PMDB00330_Adouetine Y</t>
  </si>
  <si>
    <t>Adouetine Y</t>
  </si>
  <si>
    <t xml:space="preserve"> 
C09994</t>
  </si>
  <si>
    <t xml:space="preserve"> 
PMDB00330</t>
  </si>
  <si>
    <t>Secondary  Metabolites_Alkaloids_Other Alkaloids_PMDB00488_Ancistrocladine</t>
  </si>
  <si>
    <t>Ancistrocladine</t>
  </si>
  <si>
    <t xml:space="preserve"> 
C09335</t>
  </si>
  <si>
    <t>PMDB00488</t>
  </si>
  <si>
    <t>Secondary  Metabolites_Phenolics
_Minor Flavonoids_PMDB00580_Isouvaretin</t>
  </si>
  <si>
    <t>Isouvaretin</t>
  </si>
  <si>
    <t xml:space="preserve"> 
C09759</t>
  </si>
  <si>
    <t>PMDB00580</t>
  </si>
  <si>
    <t>C23 H24 O P2</t>
  </si>
  <si>
    <t>Secondary  Metabolites_Phenolics
_Quinones
_PMDB00807_7-Chloroemodin</t>
  </si>
  <si>
    <t>7-Chloroemodin</t>
  </si>
  <si>
    <t xml:space="preserve"> 
C10311</t>
  </si>
  <si>
    <t>PMDB00807</t>
  </si>
  <si>
    <t>C2 H2 Cl N5 O P2 S3</t>
  </si>
  <si>
    <t>Secondary  Metabolites_Alkaloids_Peptide Alkaloids_ 
PMDB00346_Nummularine F</t>
  </si>
  <si>
    <t>Nummularine F</t>
  </si>
  <si>
    <t>C10011</t>
  </si>
  <si>
    <t xml:space="preserve"> 
PMDB00346</t>
  </si>
  <si>
    <t>Secondary  Metabolites_Alkaloids_Indole Alkaloids_ 
PMDB00157_Alstonine</t>
  </si>
  <si>
    <t>Alstonine</t>
  </si>
  <si>
    <t xml:space="preserve"> 
C09028</t>
  </si>
  <si>
    <t xml:space="preserve"> 
PMDB00157</t>
  </si>
  <si>
    <t>C16 H24 N6 O3</t>
  </si>
  <si>
    <t>Secondary  Metabolites_Terpenoids_Monoterpenoids_PMDB00655_Geraniol</t>
  </si>
  <si>
    <t>Geraniol</t>
  </si>
  <si>
    <t xml:space="preserve"> 
C01500</t>
  </si>
  <si>
    <t>PMDB00655</t>
  </si>
  <si>
    <t>Secondary  Metabolites_Terpenoids_Carotenoids_PMDB00757_Flavoxanthin</t>
  </si>
  <si>
    <t>Flavoxanthin</t>
  </si>
  <si>
    <t xml:space="preserve"> 
C08594</t>
  </si>
  <si>
    <t>PMDB00757</t>
  </si>
  <si>
    <t>Secondary  Metabolites_Alkaloids_Diterpenoid Alkaloids
_PMDB00105_Delcorine</t>
  </si>
  <si>
    <t>Delcorine</t>
  </si>
  <si>
    <t xml:space="preserve"> 
C08675</t>
  </si>
  <si>
    <t>PMDB00105</t>
  </si>
  <si>
    <t>Secondary  Metabolites_Phenolics
_Minor Flavonoids_PMDB00579_ 
Isochamaejasmin</t>
  </si>
  <si>
    <t xml:space="preserve"> 
Isochamaejasmin</t>
  </si>
  <si>
    <t>C09758</t>
  </si>
  <si>
    <t>PMDB00579</t>
  </si>
  <si>
    <t>C34 H38 O6</t>
  </si>
  <si>
    <t>Secondary  Metabolites_Alkaloids_Other Alkaloids_PMDB00428_Solanine</t>
  </si>
  <si>
    <t>Solanine</t>
  </si>
  <si>
    <t xml:space="preserve"> 
C10820</t>
  </si>
  <si>
    <t>PMDB00428</t>
  </si>
  <si>
    <t>C45 H76 N9 O2 P3</t>
  </si>
  <si>
    <t>Secondary  Metabolites_Phenolics
_Quinones
_PMDB00805_Chimaphylin</t>
  </si>
  <si>
    <t>Chimaphylin</t>
  </si>
  <si>
    <t xml:space="preserve"> 
C10310</t>
  </si>
  <si>
    <t>PMDB00805</t>
  </si>
  <si>
    <t>Secondary  Metabolites_Alkaloids_Other Alkaloids_PMDB00441_Apoatropine</t>
  </si>
  <si>
    <t>Apoatropine</t>
  </si>
  <si>
    <t xml:space="preserve"> 
C10843</t>
  </si>
  <si>
    <t>PMDB00441</t>
  </si>
  <si>
    <t>Secondary  Metabolites_Alkaloids_Other Alkaloids_ 
PMDB00302_Spirolucidine</t>
  </si>
  <si>
    <t>Spirolucidine</t>
  </si>
  <si>
    <t xml:space="preserve"> 
C09903</t>
  </si>
  <si>
    <t xml:space="preserve"> 
PMDB00302</t>
  </si>
  <si>
    <t>C13 H26 Br N8 O3 P S</t>
  </si>
  <si>
    <t>Secondary  Metabolites_Alkaloids_Other Alkaloids_PMDB00429_Solanocapsine</t>
  </si>
  <si>
    <t>Solanocapsine</t>
  </si>
  <si>
    <t xml:space="preserve"> 
C10821</t>
  </si>
  <si>
    <t>PMDB00429</t>
  </si>
  <si>
    <t>C17 H35 O10 P</t>
  </si>
  <si>
    <t>Secondary  Metabolites_Others_Others_PMDB00024_kaempferol-3-glucoside</t>
  </si>
  <si>
    <t>kaempferol-3-glucoside</t>
  </si>
  <si>
    <t>PMDB00024</t>
  </si>
  <si>
    <t>C18 H17 N4 O6 P S</t>
  </si>
  <si>
    <t>Secondary  Metabolites_Alkaloids_Indole Alkaloids_ 
PMDB00160_ 
Antirhine</t>
  </si>
  <si>
    <t xml:space="preserve"> 
Antirhine</t>
  </si>
  <si>
    <t xml:space="preserve"> 
C09033</t>
  </si>
  <si>
    <t xml:space="preserve"> 
PMDB00160</t>
  </si>
  <si>
    <t>C6 H3 N O13</t>
  </si>
  <si>
    <t>Secondary  Metabolites_Terpenoids_Phytosterols_PMDB00733_Pollinastanol</t>
  </si>
  <si>
    <t>Pollinastanol</t>
  </si>
  <si>
    <t xml:space="preserve"> 
C08833</t>
  </si>
  <si>
    <t>PMDB00733</t>
  </si>
  <si>
    <t>C24 H24 N4 S</t>
  </si>
  <si>
    <t>Secondary  Metabolites_Phenolics
_Quinones
_PMDB00839_ 
Naphthazarin</t>
  </si>
  <si>
    <t xml:space="preserve"> 
Naphthazarin</t>
  </si>
  <si>
    <t xml:space="preserve"> 
C01938</t>
  </si>
  <si>
    <t>PMDB00839</t>
  </si>
  <si>
    <t>C2 H2 N6 O5</t>
  </si>
  <si>
    <t>Secondary  Metabolites_Terpenoids_Other Terpenoids_PMDB00787_Sapelin A</t>
  </si>
  <si>
    <t>Sapelin A</t>
  </si>
  <si>
    <t xml:space="preserve"> 
C08634</t>
  </si>
  <si>
    <t>PMDB00787</t>
  </si>
  <si>
    <t>C26 H53 O P3</t>
  </si>
  <si>
    <t>Secondary  Metabolites_Alkaloids_Other Alkaloids_PMDB00478_Aknadicine</t>
  </si>
  <si>
    <t>Aknadicine</t>
  </si>
  <si>
    <t xml:space="preserve"> 
C09325</t>
  </si>
  <si>
    <t>PMDB00478</t>
  </si>
  <si>
    <t>C5 H17 N9 O5 P2</t>
  </si>
  <si>
    <t>Secondary  Metabolites_Alkaloids_Indole Alkaloids_PMDB00172
_Bleekerine</t>
  </si>
  <si>
    <t>Bleekerine</t>
  </si>
  <si>
    <t xml:space="preserve"> 
C09046</t>
  </si>
  <si>
    <t xml:space="preserve">PMDB00172
</t>
  </si>
  <si>
    <t>Secondary  Metabolites_Phenolics
_Quinones
_PMDB00845_Purpurin</t>
  </si>
  <si>
    <t>Purpurin</t>
  </si>
  <si>
    <t xml:space="preserve"> 
C10395</t>
  </si>
  <si>
    <t>PMDB00845</t>
  </si>
  <si>
    <t>C6 H21 N6 O3 P</t>
  </si>
  <si>
    <t>Secondary  Metabolites_Alkaloids_Other Alkaloids_ 
PMDB00388_ 
Calpurnine</t>
  </si>
  <si>
    <t xml:space="preserve"> 
Calpurnine</t>
  </si>
  <si>
    <t xml:space="preserve"> 
C10757</t>
  </si>
  <si>
    <t xml:space="preserve"> 
PMDB00388</t>
  </si>
  <si>
    <t>Secondary  Metabolites_Phenolics
_Isoflavonoids
_PMDB00882_Lotisoflavan</t>
  </si>
  <si>
    <t>Lotisoflavan</t>
  </si>
  <si>
    <t xml:space="preserve"> 
C10495</t>
  </si>
  <si>
    <t>PMDB00882</t>
  </si>
  <si>
    <t>C7 H23 N6 O5 P</t>
  </si>
  <si>
    <t>Secondary  Metabolites_Terpenoids_Carotenoids_PMDB00745_Astaxanthin</t>
  </si>
  <si>
    <t>Astaxanthin</t>
  </si>
  <si>
    <t xml:space="preserve"> 
C08580</t>
  </si>
  <si>
    <t>PMDB00745</t>
  </si>
  <si>
    <t>C5 H5 Cl2 N9 O17 S2</t>
  </si>
  <si>
    <t>Secondary  Metabolites_Alkaloids_Indole Alkaloids_PMDB00270_Vindoline</t>
  </si>
  <si>
    <t>Vindoline</t>
  </si>
  <si>
    <t xml:space="preserve"> 
C01626</t>
  </si>
  <si>
    <t>PMDB00270</t>
  </si>
  <si>
    <t>C20 H41 O9 P</t>
  </si>
  <si>
    <t>Secondary  Metabolites_Terpenoids_Monoterpenoids_PMDB00654_Fenchone</t>
  </si>
  <si>
    <t>Fenchone</t>
  </si>
  <si>
    <t xml:space="preserve"> 
C09859</t>
  </si>
  <si>
    <t>PMDB00654</t>
  </si>
  <si>
    <t>Secondary  Metabolites_Others_Others_PMDB00038_ 
Candimine</t>
  </si>
  <si>
    <t xml:space="preserve"> 
Candimine</t>
  </si>
  <si>
    <t xml:space="preserve"> 
C08520</t>
  </si>
  <si>
    <t>PMDB00038</t>
  </si>
  <si>
    <t>Secondary  Metabolites_Terpenoids_Diterpenoids_PMDB00630_ 
Gnidicin</t>
  </si>
  <si>
    <t xml:space="preserve"> 
Gnidicin</t>
  </si>
  <si>
    <t xml:space="preserve"> 
C09095</t>
  </si>
  <si>
    <t>PMDB00630</t>
  </si>
  <si>
    <t>Hormones_Gibberellins
_Gibberellins
_PMDB00983_ 
Gibberellin A34</t>
  </si>
  <si>
    <t xml:space="preserve"> 
Gibberellin A34</t>
  </si>
  <si>
    <t xml:space="preserve"> 
C11868</t>
  </si>
  <si>
    <t>PMDB00983</t>
  </si>
  <si>
    <t>C18 H20 O7</t>
  </si>
  <si>
    <t>Secondary  Metabolites_Alkaloids_Indole Alkaloids_ 
PMDB00169_ 
Aspidospermine</t>
  </si>
  <si>
    <t xml:space="preserve"> 
Aspidospermine</t>
  </si>
  <si>
    <t xml:space="preserve"> 
C09042</t>
  </si>
  <si>
    <t xml:space="preserve"> 
PMDB00169</t>
  </si>
  <si>
    <t>Secondary  Metabolites_Alkaloids_Other Alkaloids_PMDB00473_ 
Tropine</t>
  </si>
  <si>
    <t xml:space="preserve"> 
Tropine</t>
  </si>
  <si>
    <t xml:space="preserve"> 
C00729</t>
  </si>
  <si>
    <t>PMDB00473</t>
  </si>
  <si>
    <t>Secondary  Metabolites_Alkaloids_Other Alkaloids_PMDB00492_Annonaine</t>
  </si>
  <si>
    <t>Annonaine</t>
  </si>
  <si>
    <t xml:space="preserve"> 
C09339</t>
  </si>
  <si>
    <t>PMDB00492</t>
  </si>
  <si>
    <t>Secondary  Metabolites_Terpenoids_Steroid Saponins_PMDB00710_ 
Ruscogenin</t>
  </si>
  <si>
    <t xml:space="preserve"> 
Ruscogenin</t>
  </si>
  <si>
    <t xml:space="preserve"> 
C08909</t>
  </si>
  <si>
    <t>PMDB00710</t>
  </si>
  <si>
    <t>Secondary  Metabolites_Alkaloids_Indole Alkaloids_PMDB00176_Borrerine</t>
  </si>
  <si>
    <t>Borrerine</t>
  </si>
  <si>
    <t>C09054</t>
  </si>
  <si>
    <t>PMDB00176</t>
  </si>
  <si>
    <t>C10 H20 N6 O</t>
  </si>
  <si>
    <t>Secondary  Metabolites_Phenolics
_Quinones
_PMDB00824_ 
Frangulin B</t>
  </si>
  <si>
    <t xml:space="preserve"> 
Frangulin B</t>
  </si>
  <si>
    <t xml:space="preserve"> 
C10349</t>
  </si>
  <si>
    <t>PMDB00824</t>
  </si>
  <si>
    <t>C20 H43 N4 O2 P</t>
  </si>
  <si>
    <t>Secondary  Metabolites_Alkaloids_Other Alkaloids_PMDB00445_Bellendine</t>
  </si>
  <si>
    <t>Bellendine</t>
  </si>
  <si>
    <t xml:space="preserve"> 
C10846</t>
  </si>
  <si>
    <t>PMDB00445</t>
  </si>
  <si>
    <t>Secondary  Metabolites_Phenolics
_Isoflavonoids
_PMDB00915_Texasin</t>
  </si>
  <si>
    <t>Texasin</t>
  </si>
  <si>
    <t xml:space="preserve"> 
C10536</t>
  </si>
  <si>
    <t>PMDB00915</t>
  </si>
  <si>
    <t>Secondary  Metabolites_Alkaloids_Diterpenoid Alkaloids
_PMDB00111_Elatine</t>
  </si>
  <si>
    <t>Elatine</t>
  </si>
  <si>
    <t xml:space="preserve"> 
C08681</t>
  </si>
  <si>
    <t>PMDB00111</t>
  </si>
  <si>
    <t>Secondary  Metabolites_Alkaloids_Diterpenoid Alkaloids
_PMDB00141_Spiredine</t>
  </si>
  <si>
    <t>Spiredine</t>
  </si>
  <si>
    <t xml:space="preserve"> 
C08711</t>
  </si>
  <si>
    <t>PMDB00141</t>
  </si>
  <si>
    <t>Secondary  Metabolites_Others_Others_PMDB00008_Triacontanol</t>
  </si>
  <si>
    <t>Triacontanol</t>
  </si>
  <si>
    <t xml:space="preserve"> 
C08392</t>
  </si>
  <si>
    <t>PMDB00008</t>
  </si>
  <si>
    <t>Secondary  Metabolites_Phenolics
_Minor Flavonoids_PMDB00589_Phellamurin</t>
  </si>
  <si>
    <t>Phellamurin</t>
  </si>
  <si>
    <t xml:space="preserve"> 
C09808</t>
  </si>
  <si>
    <t>PMDB00589</t>
  </si>
  <si>
    <t>Secondary  Metabolites_Terpenoids_Triterpenoid Saponins_PMDB00669_Barringtogenol C</t>
  </si>
  <si>
    <t>Barringtogenol C</t>
  </si>
  <si>
    <t xml:space="preserve"> 
C08931</t>
  </si>
  <si>
    <t>PMDB00669</t>
  </si>
  <si>
    <t>Secondary  Metabolites_Alkaloids_Other Alkaloids_PMDB00465_Phyllalbine</t>
  </si>
  <si>
    <t>Phyllalbine</t>
  </si>
  <si>
    <t xml:space="preserve"> 
C10863</t>
  </si>
  <si>
    <t>PMDB00465</t>
  </si>
  <si>
    <t>C8 H18 N7 O3 P</t>
  </si>
  <si>
    <t>Secondary  Metabolites_Alkaloids_Indole Alkaloids_ 
PMDB00149_ 
Affinine</t>
  </si>
  <si>
    <t xml:space="preserve"> 
Affinine</t>
  </si>
  <si>
    <t xml:space="preserve"> 
C09021</t>
  </si>
  <si>
    <t xml:space="preserve"> 
PMDB00149</t>
  </si>
  <si>
    <t>C19 H32 O4</t>
  </si>
  <si>
    <t>Secondary  Metabolites_Alkaloids_Indole Alkaloids_ 
PMDB00148_ 
Adifoline</t>
  </si>
  <si>
    <t xml:space="preserve"> 
Adifoline</t>
  </si>
  <si>
    <t xml:space="preserve"> 
C09020</t>
  </si>
  <si>
    <t xml:space="preserve"> 
PMDB00148</t>
  </si>
  <si>
    <t>Secondary  Metabolites_Terpenoids_Other Terpenoids_PMDB00785_ 
Papyriferic acid</t>
  </si>
  <si>
    <t xml:space="preserve"> 
Papyriferic acid</t>
  </si>
  <si>
    <t xml:space="preserve"> 
C08632</t>
  </si>
  <si>
    <t>PMDB00785</t>
  </si>
  <si>
    <t>Secondary  Metabolites_Alkaloids_Diterpenoid Alkaloids
_PMDB00109_Deltaline</t>
  </si>
  <si>
    <t>Deltaline</t>
  </si>
  <si>
    <t>C08679</t>
  </si>
  <si>
    <t>PMDB00109</t>
  </si>
  <si>
    <t>Secondary  Metabolites_Phenolics
_Anthocyanins
_PMDB00511_Cyanin</t>
  </si>
  <si>
    <t>Cyanin</t>
  </si>
  <si>
    <t xml:space="preserve"> 
C08639</t>
  </si>
  <si>
    <t>PMDB00511</t>
  </si>
  <si>
    <t>C20 H34 Cl N9 O9 S</t>
  </si>
  <si>
    <t>Secondary  Metabolites_Alkaloids_Other Alkaloids_PMDB00455_Convoline</t>
  </si>
  <si>
    <t>Convoline</t>
  </si>
  <si>
    <t>C10855</t>
  </si>
  <si>
    <t>PMDB00455</t>
  </si>
  <si>
    <t>C8 H16 N5 O2 P3</t>
  </si>
  <si>
    <t>Secondary  Metabolites_Alkaloids_Diterpenoid Alkaloids
_PMDB00131_Norerythrostachaldine</t>
  </si>
  <si>
    <t>Norerythrostachaldine</t>
  </si>
  <si>
    <t xml:space="preserve"> 
C08701</t>
  </si>
  <si>
    <t>PMDB00131</t>
  </si>
  <si>
    <t>Secondary  Metabolites_Alkaloids_Diterpenoid Alkaloids
_PMDB00126_Lycaconitine</t>
  </si>
  <si>
    <t>Lycaconitine</t>
  </si>
  <si>
    <t xml:space="preserve"> 
C08696</t>
  </si>
  <si>
    <t>PMDB00126</t>
  </si>
  <si>
    <t>C25 H39 N10 O6 P3</t>
  </si>
  <si>
    <t>Secondary  Metabolites_Alkaloids_Other Alkaloids_PMDB00432_Terminaline</t>
  </si>
  <si>
    <t>Terminaline</t>
  </si>
  <si>
    <t xml:space="preserve"> 
C10825</t>
  </si>
  <si>
    <t>PMDB00432</t>
  </si>
  <si>
    <t>C2 H7 O13 P3 S</t>
  </si>
  <si>
    <t>Secondary  Metabolites_Phenolics
_Isoflavonoids
_PMDB00894_Paniculatin</t>
  </si>
  <si>
    <t>Paniculatin</t>
  </si>
  <si>
    <t>C10513</t>
  </si>
  <si>
    <t>PMDB00894</t>
  </si>
  <si>
    <t>Secondary  Metabolites_Phenolics
_Quinones
_PMDB00842
_ 
Plumbagin</t>
  </si>
  <si>
    <t xml:space="preserve"> 
Plumbagin</t>
  </si>
  <si>
    <t xml:space="preserve"> 
C10387</t>
  </si>
  <si>
    <t xml:space="preserve">PMDB00842
</t>
  </si>
  <si>
    <t>C6 H16 N6 O</t>
  </si>
  <si>
    <t>Secondary  Metabolites_Alkaloids_Indole Alkaloids_PMDB00206_alpha-Ergocryptine</t>
  </si>
  <si>
    <t>alpha-Ergocryptine</t>
  </si>
  <si>
    <t xml:space="preserve"> 
C07545</t>
  </si>
  <si>
    <t>PMDB00206</t>
  </si>
  <si>
    <t>C30 H22 N7 O4 P</t>
  </si>
  <si>
    <t>Secondary  Metabolites_Phenolics
_Quinones
_PMDB00832_Lapachol</t>
  </si>
  <si>
    <t>Lapachol</t>
  </si>
  <si>
    <t xml:space="preserve"> 
C10366</t>
  </si>
  <si>
    <t>PMDB00832</t>
  </si>
  <si>
    <t>Secondary  Metabolites_Alkaloids_Other Alkaloids_PMDB00458_Ecgonine</t>
  </si>
  <si>
    <t>Ecgonine</t>
  </si>
  <si>
    <t xml:space="preserve"> 
C10858</t>
  </si>
  <si>
    <t>PMDB00458</t>
  </si>
  <si>
    <t>Secondary  Metabolites_Others_Others_PMDB00029_alpha spinasterol</t>
  </si>
  <si>
    <t>alpha spinasterol</t>
  </si>
  <si>
    <t>C08840</t>
  </si>
  <si>
    <t>PMDB00029</t>
  </si>
  <si>
    <t>C6 H6 Br N7 O4 P2 S</t>
  </si>
  <si>
    <t>Secondary  Metabolites_Phenolics
_Isoflavonoids
_PMDB00886_ 
Melannin</t>
  </si>
  <si>
    <t xml:space="preserve"> 
Melannin</t>
  </si>
  <si>
    <t xml:space="preserve"> 
C10504</t>
  </si>
  <si>
    <t>PMDB00886</t>
  </si>
  <si>
    <t>C8 H22 N4 O3 P2</t>
  </si>
  <si>
    <t>Area: BR1</t>
  </si>
  <si>
    <t>Area: BR2</t>
  </si>
  <si>
    <t>Area: BR3</t>
  </si>
  <si>
    <t xml:space="preserve">Average expression </t>
  </si>
  <si>
    <t>Percentage abundance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</si>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</sst>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1" fontId="1" fillId="0" borderId="1" xfId="0" applyNumberFormat="1" applyFon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7055-C1A7-460D-8221-F3070AEB665C}">
  <dimension ref="A1:S994"/>
  <sheetViews>
    <sheetView tabSelected="1" zoomScale="53" workbookViewId="0">
      <selection activeCell="L1" sqref="L1:L1048576"/>
    </sheetView>
  </sheetViews>
  <sheetFormatPr defaultRowHeight="14.4" x14ac:dyDescent="0.3"/>
  <cols>
    <col min="2" max="2" width="82.44140625" bestFit="1" customWidth="1"/>
    <col min="3" max="3" width="31.88671875" bestFit="1" customWidth="1"/>
    <col min="4" max="4" width="7.88671875" customWidth="1"/>
    <col min="5" max="5" width="8.88671875" customWidth="1"/>
    <col min="6" max="6" width="13.109375" customWidth="1"/>
    <col min="7" max="7" width="8.88671875" customWidth="1"/>
    <col min="8" max="8" width="10.44140625" customWidth="1"/>
    <col min="9" max="9" width="14.5546875" bestFit="1" customWidth="1"/>
    <col min="10" max="10" width="13.5546875" bestFit="1" customWidth="1"/>
    <col min="11" max="11" width="10" bestFit="1" customWidth="1"/>
    <col min="12" max="12" width="11.77734375" style="8" bestFit="1" customWidth="1"/>
    <col min="13" max="13" width="20.33203125" bestFit="1" customWidth="1"/>
    <col min="14" max="14" width="21.44140625" bestFit="1" customWidth="1"/>
    <col min="15" max="16" width="21.88671875" bestFit="1" customWidth="1"/>
    <col min="17" max="17" width="32.5546875" bestFit="1" customWidth="1"/>
    <col min="18" max="18" width="17.33203125" bestFit="1" customWidth="1"/>
    <col min="19" max="19" width="38.21875" bestFit="1" customWidth="1"/>
  </cols>
  <sheetData>
    <row r="1" spans="1:19" s="5" customFormat="1" x14ac:dyDescent="0.3">
      <c r="A1" s="3" t="s">
        <v>0</v>
      </c>
      <c r="B1" s="3" t="s">
        <v>1</v>
      </c>
      <c r="C1" s="3" t="s">
        <v>2</v>
      </c>
      <c r="D1" s="3" t="s">
        <v>6</v>
      </c>
      <c r="E1" s="3" t="s">
        <v>3</v>
      </c>
      <c r="F1" s="3" t="s">
        <v>4</v>
      </c>
      <c r="G1" s="3" t="s">
        <v>5</v>
      </c>
      <c r="H1" s="4" t="s">
        <v>7</v>
      </c>
      <c r="I1" s="3" t="s">
        <v>8</v>
      </c>
      <c r="J1" s="3" t="s">
        <v>9</v>
      </c>
      <c r="K1" s="3" t="s">
        <v>10</v>
      </c>
      <c r="L1" s="6" t="s">
        <v>11</v>
      </c>
      <c r="M1" s="3" t="s">
        <v>12</v>
      </c>
      <c r="N1" s="4" t="s">
        <v>4604</v>
      </c>
      <c r="O1" s="4" t="s">
        <v>4605</v>
      </c>
      <c r="P1" s="4" t="s">
        <v>4606</v>
      </c>
      <c r="Q1" s="4" t="s">
        <v>4609</v>
      </c>
      <c r="R1" s="3" t="s">
        <v>4607</v>
      </c>
      <c r="S1" s="3" t="s">
        <v>4608</v>
      </c>
    </row>
    <row r="2" spans="1:19" x14ac:dyDescent="0.3">
      <c r="A2" s="1">
        <v>693</v>
      </c>
      <c r="B2" s="1" t="s">
        <v>883</v>
      </c>
      <c r="C2" s="1" t="s">
        <v>884</v>
      </c>
      <c r="D2" s="1">
        <v>8.4770000000000003</v>
      </c>
      <c r="E2" s="1" t="s">
        <v>885</v>
      </c>
      <c r="F2" s="1" t="s">
        <v>886</v>
      </c>
      <c r="G2" s="1">
        <v>937.53629000000001</v>
      </c>
      <c r="H2" s="2">
        <v>894266346.706581</v>
      </c>
      <c r="I2" s="1" t="s">
        <v>290</v>
      </c>
      <c r="J2" s="1">
        <v>936.64541999999994</v>
      </c>
      <c r="K2" s="1">
        <v>469.77542</v>
      </c>
      <c r="L2" s="7">
        <f>G2-J2</f>
        <v>0.89087000000006356</v>
      </c>
      <c r="M2" s="1" t="s">
        <v>887</v>
      </c>
      <c r="N2" s="2">
        <v>4594689.4735043198</v>
      </c>
      <c r="O2" s="1">
        <v>129861673.359172</v>
      </c>
      <c r="P2" s="1">
        <v>15009230.7692708</v>
      </c>
      <c r="Q2" s="1">
        <f>STDEV(N2:P2)</f>
        <v>69511825.72181502</v>
      </c>
      <c r="R2" s="1">
        <v>49821864.533982374</v>
      </c>
      <c r="S2" s="1">
        <v>6.1097439167797092E-2</v>
      </c>
    </row>
    <row r="3" spans="1:19" x14ac:dyDescent="0.3">
      <c r="A3" s="1">
        <v>692</v>
      </c>
      <c r="B3" s="1" t="s">
        <v>1086</v>
      </c>
      <c r="C3" s="1" t="s">
        <v>1087</v>
      </c>
      <c r="D3" s="1">
        <v>9.3979999999999997</v>
      </c>
      <c r="E3" s="1" t="s">
        <v>1088</v>
      </c>
      <c r="F3" s="1" t="s">
        <v>1089</v>
      </c>
      <c r="G3" s="1">
        <v>937.53561999999999</v>
      </c>
      <c r="H3" s="2">
        <v>63134646.204420701</v>
      </c>
      <c r="I3" s="1" t="s">
        <v>290</v>
      </c>
      <c r="J3" s="1">
        <v>936.64541999999994</v>
      </c>
      <c r="K3" s="1">
        <v>469.77508999999998</v>
      </c>
      <c r="L3" s="7">
        <f>G3-J3</f>
        <v>0.89020000000004984</v>
      </c>
      <c r="M3" s="1" t="s">
        <v>24</v>
      </c>
      <c r="N3" s="2">
        <v>33874085.699943602</v>
      </c>
      <c r="O3" s="1">
        <v>36040405.605407499</v>
      </c>
      <c r="P3" s="1">
        <v>32196772.955185302</v>
      </c>
      <c r="Q3" s="1">
        <f>STDEV(N3:P3)</f>
        <v>1926993.8560009231</v>
      </c>
      <c r="R3" s="1">
        <v>34037088.086845465</v>
      </c>
      <c r="S3" s="1">
        <v>4.1740286885822139E-2</v>
      </c>
    </row>
    <row r="4" spans="1:19" x14ac:dyDescent="0.3">
      <c r="A4" s="1">
        <v>703</v>
      </c>
      <c r="B4" s="1" t="s">
        <v>3951</v>
      </c>
      <c r="C4" s="1" t="s">
        <v>3952</v>
      </c>
      <c r="D4" s="1">
        <v>8.8059999999999992</v>
      </c>
      <c r="E4" s="1" t="s">
        <v>3953</v>
      </c>
      <c r="F4" s="1" t="s">
        <v>3954</v>
      </c>
      <c r="G4" s="1">
        <v>953.51035000000002</v>
      </c>
      <c r="H4" s="2">
        <v>2904988.8175645601</v>
      </c>
      <c r="I4" s="1" t="s">
        <v>290</v>
      </c>
      <c r="J4" s="1">
        <v>952.64481999999998</v>
      </c>
      <c r="K4" s="1">
        <v>477.76245</v>
      </c>
      <c r="L4" s="7">
        <f>G4-J4</f>
        <v>0.86553000000003522</v>
      </c>
      <c r="M4" s="1" t="s">
        <v>3955</v>
      </c>
      <c r="N4" s="2">
        <v>523645.27659645601</v>
      </c>
      <c r="O4" s="1">
        <v>668142.01824596105</v>
      </c>
      <c r="P4" s="1">
        <v>720741.47956136102</v>
      </c>
      <c r="Q4" s="1">
        <f>STDEV(N4:P4)</f>
        <v>102056.29565847185</v>
      </c>
      <c r="R4" s="1">
        <v>637509.59146792605</v>
      </c>
      <c r="S4" s="1">
        <v>7.8178935790393248E-4</v>
      </c>
    </row>
    <row r="5" spans="1:19" x14ac:dyDescent="0.3">
      <c r="A5" s="1">
        <v>853</v>
      </c>
      <c r="B5" s="1" t="s">
        <v>4307</v>
      </c>
      <c r="C5" s="1" t="s">
        <v>4308</v>
      </c>
      <c r="D5" s="1">
        <v>8.8840000000000003</v>
      </c>
      <c r="E5" s="1" t="s">
        <v>4309</v>
      </c>
      <c r="F5" s="1" t="s">
        <v>4310</v>
      </c>
      <c r="G5" s="1">
        <v>1046.5180399999999</v>
      </c>
      <c r="H5" s="2">
        <v>14155871.879050201</v>
      </c>
      <c r="I5" s="1" t="s">
        <v>290</v>
      </c>
      <c r="J5" s="1">
        <v>1045.68904</v>
      </c>
      <c r="K5" s="1">
        <v>524.2663</v>
      </c>
      <c r="L5" s="7">
        <f>G5-J5</f>
        <v>0.82899999999995089</v>
      </c>
      <c r="M5" s="1" t="s">
        <v>4311</v>
      </c>
      <c r="N5" s="2">
        <v>267971.88328639697</v>
      </c>
      <c r="O5" s="1">
        <v>330117.37022559898</v>
      </c>
      <c r="P5" s="1">
        <v>364417.268076849</v>
      </c>
      <c r="Q5" s="1">
        <f>STDEV(N5:P5)</f>
        <v>48888.063960601437</v>
      </c>
      <c r="R5" s="1">
        <v>320835.50719628163</v>
      </c>
      <c r="S5" s="1">
        <v>3.9344629244904923E-4</v>
      </c>
    </row>
    <row r="6" spans="1:19" x14ac:dyDescent="0.3">
      <c r="A6" s="1">
        <v>754</v>
      </c>
      <c r="B6" s="1" t="s">
        <v>4074</v>
      </c>
      <c r="C6" s="1" t="s">
        <v>4075</v>
      </c>
      <c r="D6" s="1">
        <v>14.37</v>
      </c>
      <c r="E6" s="1" t="s">
        <v>4076</v>
      </c>
      <c r="F6" s="1" t="s">
        <v>4077</v>
      </c>
      <c r="G6" s="1">
        <v>154.87352000000001</v>
      </c>
      <c r="H6" s="2">
        <v>5262718.9242008002</v>
      </c>
      <c r="I6" s="1" t="s">
        <v>17</v>
      </c>
      <c r="J6" s="1">
        <v>154.24932000000001</v>
      </c>
      <c r="K6" s="1">
        <v>153.86624</v>
      </c>
      <c r="L6" s="7">
        <f>G6-J6</f>
        <v>0.62420000000000186</v>
      </c>
      <c r="M6" s="1" t="s">
        <v>24</v>
      </c>
      <c r="N6" s="2">
        <v>169943.67291777799</v>
      </c>
      <c r="O6" s="1">
        <v>1248312.06003034</v>
      </c>
      <c r="P6" s="1">
        <v>193927.35995114199</v>
      </c>
      <c r="Q6" s="1">
        <f>STDEV(N6:P6)</f>
        <v>615789.55974268832</v>
      </c>
      <c r="R6" s="1">
        <v>537394.36429975333</v>
      </c>
      <c r="S6" s="1">
        <v>6.5901627305670638E-4</v>
      </c>
    </row>
    <row r="7" spans="1:19" x14ac:dyDescent="0.3">
      <c r="A7" s="1">
        <v>89</v>
      </c>
      <c r="B7" s="1" t="s">
        <v>903</v>
      </c>
      <c r="C7" s="1" t="s">
        <v>904</v>
      </c>
      <c r="D7" s="1">
        <v>7.2629999999999999</v>
      </c>
      <c r="E7" s="1" t="s">
        <v>905</v>
      </c>
      <c r="F7" s="1" t="s">
        <v>906</v>
      </c>
      <c r="G7" s="1">
        <v>582.28196000000003</v>
      </c>
      <c r="H7" s="2">
        <v>184848299.569296</v>
      </c>
      <c r="I7" s="1" t="s">
        <v>23</v>
      </c>
      <c r="J7" s="1">
        <v>581.66150000000005</v>
      </c>
      <c r="K7" s="1">
        <v>583.28931</v>
      </c>
      <c r="L7" s="7">
        <f>G7-J7</f>
        <v>0.62045999999998003</v>
      </c>
      <c r="M7" s="1" t="s">
        <v>907</v>
      </c>
      <c r="N7" s="2">
        <v>50403720.601750702</v>
      </c>
      <c r="O7" s="1">
        <v>47247373.055864602</v>
      </c>
      <c r="P7" s="1">
        <v>43824634.939158</v>
      </c>
      <c r="Q7" s="1">
        <f>STDEV(N7:P7)</f>
        <v>3290441.5661556809</v>
      </c>
      <c r="R7" s="1">
        <v>47158576.19892443</v>
      </c>
      <c r="S7" s="1">
        <v>5.7831401283435731E-2</v>
      </c>
    </row>
    <row r="8" spans="1:19" x14ac:dyDescent="0.3">
      <c r="A8" s="1">
        <v>822</v>
      </c>
      <c r="B8" s="1" t="s">
        <v>4276</v>
      </c>
      <c r="C8" s="1" t="s">
        <v>4277</v>
      </c>
      <c r="D8" s="1">
        <v>15.16</v>
      </c>
      <c r="E8" s="1" t="s">
        <v>4278</v>
      </c>
      <c r="F8" s="1" t="s">
        <v>4279</v>
      </c>
      <c r="G8" s="1">
        <v>869.64940000000001</v>
      </c>
      <c r="H8" s="2">
        <v>2437017.9561198298</v>
      </c>
      <c r="I8" s="1" t="s">
        <v>23</v>
      </c>
      <c r="J8" s="1">
        <v>869.04358000000002</v>
      </c>
      <c r="K8" s="1">
        <v>870.65668000000005</v>
      </c>
      <c r="L8" s="7">
        <f>G8-J8</f>
        <v>0.60581999999999425</v>
      </c>
      <c r="M8" s="1" t="s">
        <v>24</v>
      </c>
      <c r="N8" s="2">
        <v>337686.84200118098</v>
      </c>
      <c r="O8" s="1">
        <v>382763.86545397702</v>
      </c>
      <c r="P8" s="1">
        <v>275159.00348547299</v>
      </c>
      <c r="Q8" s="1">
        <f>STDEV(N8:P8)</f>
        <v>54037.756787995262</v>
      </c>
      <c r="R8" s="1">
        <v>331869.90364687698</v>
      </c>
      <c r="S8" s="1">
        <v>4.0697796919779406E-4</v>
      </c>
    </row>
    <row r="9" spans="1:19" x14ac:dyDescent="0.3">
      <c r="A9" s="1">
        <v>188</v>
      </c>
      <c r="B9" s="1" t="s">
        <v>1571</v>
      </c>
      <c r="C9" s="1" t="s">
        <v>1572</v>
      </c>
      <c r="D9" s="1">
        <v>0.44</v>
      </c>
      <c r="E9" s="1" t="s">
        <v>1573</v>
      </c>
      <c r="F9" s="1" t="s">
        <v>1574</v>
      </c>
      <c r="G9" s="1">
        <v>307.92473999999999</v>
      </c>
      <c r="H9" s="2">
        <v>35802358.824478701</v>
      </c>
      <c r="I9" s="1" t="s">
        <v>17</v>
      </c>
      <c r="J9" s="1">
        <v>307.34318000000002</v>
      </c>
      <c r="K9" s="1">
        <v>306.91746999999998</v>
      </c>
      <c r="L9" s="7">
        <f>G9-J9</f>
        <v>0.58155999999996766</v>
      </c>
      <c r="M9" s="1" t="s">
        <v>1575</v>
      </c>
      <c r="N9" s="2">
        <v>13834242.5059347</v>
      </c>
      <c r="O9" s="1">
        <v>14624855.3388217</v>
      </c>
      <c r="P9" s="1">
        <v>12928787.0978762</v>
      </c>
      <c r="Q9" s="1">
        <f>STDEV(N9:P9)</f>
        <v>848681.88243612531</v>
      </c>
      <c r="R9" s="1">
        <v>13795961.6475442</v>
      </c>
      <c r="S9" s="1">
        <v>1.6918233297896181E-2</v>
      </c>
    </row>
    <row r="10" spans="1:19" x14ac:dyDescent="0.3">
      <c r="A10" s="1">
        <v>245</v>
      </c>
      <c r="B10" s="1" t="s">
        <v>4295</v>
      </c>
      <c r="C10" s="1" t="s">
        <v>4296</v>
      </c>
      <c r="D10" s="1">
        <v>6.367</v>
      </c>
      <c r="E10" s="1" t="s">
        <v>4297</v>
      </c>
      <c r="F10" s="1" t="s">
        <v>4298</v>
      </c>
      <c r="G10" s="1">
        <v>585.28002000000004</v>
      </c>
      <c r="H10" s="2">
        <v>22793598.371136598</v>
      </c>
      <c r="I10" s="1" t="s">
        <v>23</v>
      </c>
      <c r="J10" s="1">
        <v>584.70036000000005</v>
      </c>
      <c r="K10" s="1">
        <v>586.28728999999998</v>
      </c>
      <c r="L10" s="7">
        <f>G10-J10</f>
        <v>0.57965999999998985</v>
      </c>
      <c r="M10" s="1" t="s">
        <v>24</v>
      </c>
      <c r="N10" s="2">
        <v>236867.431119538</v>
      </c>
      <c r="O10" s="1">
        <v>307188.64434226998</v>
      </c>
      <c r="P10" s="1">
        <v>431377.22520593897</v>
      </c>
      <c r="Q10" s="1">
        <f>STDEV(N10:P10)</f>
        <v>98490.216639000239</v>
      </c>
      <c r="R10" s="1">
        <v>325144.43355591566</v>
      </c>
      <c r="S10" s="1">
        <v>3.9873040553070019E-4</v>
      </c>
    </row>
    <row r="11" spans="1:19" x14ac:dyDescent="0.3">
      <c r="A11" s="1">
        <v>767</v>
      </c>
      <c r="B11" s="1" t="s">
        <v>3199</v>
      </c>
      <c r="C11" s="1" t="s">
        <v>3200</v>
      </c>
      <c r="D11" s="1">
        <v>15.772</v>
      </c>
      <c r="E11" s="1" t="s">
        <v>3201</v>
      </c>
      <c r="F11" s="1" t="s">
        <v>3202</v>
      </c>
      <c r="G11" s="1">
        <v>983.71915999999999</v>
      </c>
      <c r="H11" s="2">
        <v>24605608.513653498</v>
      </c>
      <c r="I11" s="1" t="s">
        <v>23</v>
      </c>
      <c r="J11" s="1">
        <v>983.14292</v>
      </c>
      <c r="K11" s="1">
        <v>984.72644000000003</v>
      </c>
      <c r="L11" s="7">
        <f>G11-J11</f>
        <v>0.57623999999998432</v>
      </c>
      <c r="M11" s="1" t="s">
        <v>24</v>
      </c>
      <c r="N11" s="2">
        <v>1310229.5204949901</v>
      </c>
      <c r="O11" s="1">
        <v>1573996.3951234701</v>
      </c>
      <c r="P11" s="1">
        <v>1691373.9259759299</v>
      </c>
      <c r="Q11" s="1">
        <f>STDEV(N11:P11)</f>
        <v>195201.39460298858</v>
      </c>
      <c r="R11" s="1">
        <v>1525199.9471981302</v>
      </c>
      <c r="S11" s="1">
        <v>1.8703798395402311E-3</v>
      </c>
    </row>
    <row r="12" spans="1:19" x14ac:dyDescent="0.3">
      <c r="A12" s="1">
        <v>42</v>
      </c>
      <c r="B12" s="1" t="s">
        <v>4402</v>
      </c>
      <c r="C12" s="1" t="s">
        <v>4403</v>
      </c>
      <c r="D12" s="1">
        <v>22.236000000000001</v>
      </c>
      <c r="E12" s="1" t="s">
        <v>4404</v>
      </c>
      <c r="F12" s="1" t="s">
        <v>4405</v>
      </c>
      <c r="G12" s="1">
        <v>296.96051</v>
      </c>
      <c r="H12" s="2">
        <v>1052852.6674287801</v>
      </c>
      <c r="I12" s="1" t="s">
        <v>17</v>
      </c>
      <c r="J12" s="1">
        <v>296.40665999999999</v>
      </c>
      <c r="K12" s="1">
        <v>295.95323000000002</v>
      </c>
      <c r="L12" s="7">
        <f>G12-J12</f>
        <v>0.55385000000001128</v>
      </c>
      <c r="M12" s="1" t="s">
        <v>4406</v>
      </c>
      <c r="N12" s="2">
        <v>258947.259116067</v>
      </c>
      <c r="O12" s="1">
        <v>256808.092619392</v>
      </c>
      <c r="P12" s="1">
        <v>211082.96990676201</v>
      </c>
      <c r="Q12" s="1">
        <f>STDEV(N12:P12)</f>
        <v>27038.09985279278</v>
      </c>
      <c r="R12" s="1">
        <v>242279.44054740699</v>
      </c>
      <c r="S12" s="1">
        <v>2.9711158983936769E-4</v>
      </c>
    </row>
    <row r="13" spans="1:19" x14ac:dyDescent="0.3">
      <c r="A13" s="1">
        <v>374</v>
      </c>
      <c r="B13" s="1" t="s">
        <v>1846</v>
      </c>
      <c r="C13" s="1" t="s">
        <v>1847</v>
      </c>
      <c r="D13" s="1">
        <v>12.365</v>
      </c>
      <c r="E13" s="1" t="s">
        <v>1848</v>
      </c>
      <c r="F13" s="1" t="s">
        <v>1849</v>
      </c>
      <c r="G13" s="1">
        <v>884.58353</v>
      </c>
      <c r="H13" s="2">
        <v>15613616.605637301</v>
      </c>
      <c r="I13" s="1" t="s">
        <v>290</v>
      </c>
      <c r="J13" s="1">
        <v>884.05822000000001</v>
      </c>
      <c r="K13" s="1">
        <v>443.29903999999999</v>
      </c>
      <c r="L13" s="7">
        <f>G13-J13</f>
        <v>0.5253099999999904</v>
      </c>
      <c r="M13" s="1" t="s">
        <v>1850</v>
      </c>
      <c r="N13" s="2">
        <v>13960727.0485665</v>
      </c>
      <c r="O13" s="1">
        <v>7226890.5237998003</v>
      </c>
      <c r="P13" s="1">
        <v>6424689.08427977</v>
      </c>
      <c r="Q13" s="1">
        <f>STDEV(N13:P13)</f>
        <v>4138839.4043705207</v>
      </c>
      <c r="R13" s="1">
        <v>9204102.2188820243</v>
      </c>
      <c r="S13" s="1">
        <v>1.1287154358279112E-2</v>
      </c>
    </row>
    <row r="14" spans="1:19" x14ac:dyDescent="0.3">
      <c r="A14" s="1">
        <v>176</v>
      </c>
      <c r="B14" s="1" t="s">
        <v>4262</v>
      </c>
      <c r="C14" s="1" t="s">
        <v>4263</v>
      </c>
      <c r="D14" s="1">
        <v>6.7220000000000004</v>
      </c>
      <c r="E14" s="1" t="s">
        <v>4264</v>
      </c>
      <c r="F14" s="1" t="s">
        <v>4265</v>
      </c>
      <c r="G14" s="1">
        <v>612.29219000000001</v>
      </c>
      <c r="H14" s="2">
        <v>1781357.2869253301</v>
      </c>
      <c r="I14" s="1" t="s">
        <v>17</v>
      </c>
      <c r="J14" s="1">
        <v>611.77206000000001</v>
      </c>
      <c r="K14" s="1">
        <v>611.28490999999997</v>
      </c>
      <c r="L14" s="7">
        <f>G14-J14</f>
        <v>0.52012999999999465</v>
      </c>
      <c r="M14" s="1" t="s">
        <v>24</v>
      </c>
      <c r="N14" s="2">
        <v>271755.56389928702</v>
      </c>
      <c r="O14" s="1">
        <v>369910.40801681898</v>
      </c>
      <c r="P14" s="1">
        <v>411203.10504041897</v>
      </c>
      <c r="Q14" s="1">
        <f>STDEV(N14:P14)</f>
        <v>71629.925056417036</v>
      </c>
      <c r="R14" s="1">
        <v>350956.35898550833</v>
      </c>
      <c r="S14" s="1">
        <v>4.3038402906505393E-4</v>
      </c>
    </row>
    <row r="15" spans="1:19" x14ac:dyDescent="0.3">
      <c r="A15" s="1">
        <v>761</v>
      </c>
      <c r="B15" s="1" t="s">
        <v>4078</v>
      </c>
      <c r="C15" s="1" t="s">
        <v>4079</v>
      </c>
      <c r="D15" s="1">
        <v>14.912000000000001</v>
      </c>
      <c r="E15" s="1" t="s">
        <v>4080</v>
      </c>
      <c r="F15" s="1" t="s">
        <v>4081</v>
      </c>
      <c r="G15" s="1">
        <v>1131.7759699999999</v>
      </c>
      <c r="H15" s="2">
        <v>7398026.7966034096</v>
      </c>
      <c r="I15" s="1" t="s">
        <v>290</v>
      </c>
      <c r="J15" s="1">
        <v>1131.25694</v>
      </c>
      <c r="K15" s="1">
        <v>566.89526000000001</v>
      </c>
      <c r="L15" s="7">
        <f>G15-J15</f>
        <v>0.51902999999992971</v>
      </c>
      <c r="M15" s="1" t="s">
        <v>4082</v>
      </c>
      <c r="N15" s="2">
        <v>526255.85250439402</v>
      </c>
      <c r="O15" s="1">
        <v>581657.14465415501</v>
      </c>
      <c r="P15" s="1">
        <v>498622.365296042</v>
      </c>
      <c r="Q15" s="1">
        <f>STDEV(N15:P15)</f>
        <v>42284.132899169621</v>
      </c>
      <c r="R15" s="1">
        <v>535511.78748486366</v>
      </c>
      <c r="S15" s="1">
        <v>6.5670763560400787E-4</v>
      </c>
    </row>
    <row r="16" spans="1:19" x14ac:dyDescent="0.3">
      <c r="A16" s="1">
        <v>221</v>
      </c>
      <c r="B16" s="1" t="s">
        <v>1948</v>
      </c>
      <c r="C16" s="1" t="s">
        <v>1949</v>
      </c>
      <c r="D16" s="1">
        <v>7.7039999999999997</v>
      </c>
      <c r="E16" s="1" t="s">
        <v>1950</v>
      </c>
      <c r="F16" s="1" t="s">
        <v>1951</v>
      </c>
      <c r="G16" s="1">
        <v>406.08814999999998</v>
      </c>
      <c r="H16" s="2">
        <v>12816256.458749199</v>
      </c>
      <c r="I16" s="1" t="s">
        <v>17</v>
      </c>
      <c r="J16" s="1">
        <v>405.57076000000001</v>
      </c>
      <c r="K16" s="1">
        <v>405.08087</v>
      </c>
      <c r="L16" s="7">
        <f>G16-J16</f>
        <v>0.51738999999997759</v>
      </c>
      <c r="M16" s="1" t="s">
        <v>1952</v>
      </c>
      <c r="N16" s="2">
        <v>8472466.2322588302</v>
      </c>
      <c r="O16" s="1">
        <v>12816256.458749199</v>
      </c>
      <c r="P16" s="1">
        <v>1638169.3621781601</v>
      </c>
      <c r="Q16" s="1">
        <f>STDEV(N16:P16)</f>
        <v>5635094.7696655979</v>
      </c>
      <c r="R16" s="1">
        <v>7642297.3510620641</v>
      </c>
      <c r="S16" s="1">
        <v>9.3718852531151746E-3</v>
      </c>
    </row>
    <row r="17" spans="1:19" x14ac:dyDescent="0.3">
      <c r="A17" s="1">
        <v>777</v>
      </c>
      <c r="B17" s="1" t="s">
        <v>528</v>
      </c>
      <c r="C17" s="1" t="s">
        <v>529</v>
      </c>
      <c r="D17" s="1">
        <v>13.933999999999999</v>
      </c>
      <c r="E17" s="1" t="s">
        <v>530</v>
      </c>
      <c r="F17" s="1" t="s">
        <v>531</v>
      </c>
      <c r="G17" s="1">
        <v>941.62095999999997</v>
      </c>
      <c r="H17" s="2">
        <v>790332629.40114701</v>
      </c>
      <c r="I17" s="1" t="s">
        <v>290</v>
      </c>
      <c r="J17" s="1">
        <v>941.10623999999996</v>
      </c>
      <c r="K17" s="1">
        <v>471.81801999999999</v>
      </c>
      <c r="L17" s="7">
        <f>G17-J17</f>
        <v>0.51472000000001117</v>
      </c>
      <c r="M17" s="1" t="s">
        <v>532</v>
      </c>
      <c r="N17" s="2">
        <v>103069500.091442</v>
      </c>
      <c r="O17" s="1">
        <v>108148879.909945</v>
      </c>
      <c r="P17" s="1">
        <v>81548862.113103896</v>
      </c>
      <c r="Q17" s="1">
        <f>STDEV(N17:P17)</f>
        <v>14121490.154651951</v>
      </c>
      <c r="R17" s="1">
        <v>97589080.704830289</v>
      </c>
      <c r="S17" s="1">
        <v>0.11967522648089095</v>
      </c>
    </row>
    <row r="18" spans="1:19" x14ac:dyDescent="0.3">
      <c r="A18" s="1">
        <v>766</v>
      </c>
      <c r="B18" s="1" t="s">
        <v>835</v>
      </c>
      <c r="C18" s="1" t="s">
        <v>836</v>
      </c>
      <c r="D18" s="1">
        <v>11.794</v>
      </c>
      <c r="E18" s="1" t="s">
        <v>837</v>
      </c>
      <c r="F18" s="1" t="s">
        <v>838</v>
      </c>
      <c r="G18" s="1">
        <v>941.62072000000001</v>
      </c>
      <c r="H18" s="2">
        <v>255914011.04010099</v>
      </c>
      <c r="I18" s="1" t="s">
        <v>290</v>
      </c>
      <c r="J18" s="1">
        <v>941.10623999999996</v>
      </c>
      <c r="K18" s="1">
        <v>471.81778000000003</v>
      </c>
      <c r="L18" s="7">
        <f>G18-J18</f>
        <v>0.51448000000004868</v>
      </c>
      <c r="M18" s="1" t="s">
        <v>839</v>
      </c>
      <c r="N18" s="2">
        <v>137466442.97811699</v>
      </c>
      <c r="O18" s="1">
        <v>21239094.3338865</v>
      </c>
      <c r="P18" s="1">
        <v>610534.82740023104</v>
      </c>
      <c r="Q18" s="1">
        <f>STDEV(N18:P18)</f>
        <v>73783324.263162106</v>
      </c>
      <c r="R18" s="1">
        <v>53105357.379801244</v>
      </c>
      <c r="S18" s="1">
        <v>6.5124044881609375E-2</v>
      </c>
    </row>
    <row r="19" spans="1:19" x14ac:dyDescent="0.3">
      <c r="A19" s="1">
        <v>216</v>
      </c>
      <c r="B19" s="1" t="s">
        <v>400</v>
      </c>
      <c r="C19" s="1" t="s">
        <v>401</v>
      </c>
      <c r="D19" s="1">
        <v>1.1859999999999999</v>
      </c>
      <c r="E19" s="1" t="s">
        <v>402</v>
      </c>
      <c r="F19" s="1" t="s">
        <v>403</v>
      </c>
      <c r="G19" s="1">
        <v>468.10090000000002</v>
      </c>
      <c r="H19" s="2">
        <v>151318218.15342599</v>
      </c>
      <c r="I19" s="1" t="s">
        <v>17</v>
      </c>
      <c r="J19" s="1">
        <v>467.59554000000003</v>
      </c>
      <c r="K19" s="1">
        <v>467.09363000000002</v>
      </c>
      <c r="L19" s="7">
        <f>G19-J19</f>
        <v>0.50535999999999603</v>
      </c>
      <c r="M19" s="1" t="s">
        <v>404</v>
      </c>
      <c r="N19" s="2">
        <v>122009805.74312501</v>
      </c>
      <c r="O19" s="1">
        <v>122773347.195379</v>
      </c>
      <c r="P19" s="1">
        <v>151318218.15342599</v>
      </c>
      <c r="Q19" s="1">
        <f>STDEV(N19:P19)</f>
        <v>16705167.322184714</v>
      </c>
      <c r="R19" s="1">
        <v>132033790.36397667</v>
      </c>
      <c r="S19" s="1">
        <v>0.16191538695534907</v>
      </c>
    </row>
    <row r="20" spans="1:19" x14ac:dyDescent="0.3">
      <c r="A20" s="1">
        <v>229</v>
      </c>
      <c r="B20" s="1" t="s">
        <v>1392</v>
      </c>
      <c r="C20" s="1" t="s">
        <v>1393</v>
      </c>
      <c r="D20" s="1">
        <v>0.82799999999999996</v>
      </c>
      <c r="E20" s="1" t="s">
        <v>1394</v>
      </c>
      <c r="F20" s="1" t="s">
        <v>1395</v>
      </c>
      <c r="G20" s="1">
        <v>468.10088999999999</v>
      </c>
      <c r="H20" s="2">
        <v>22380759.688097902</v>
      </c>
      <c r="I20" s="1" t="s">
        <v>17</v>
      </c>
      <c r="J20" s="1">
        <v>467.59554000000003</v>
      </c>
      <c r="K20" s="1">
        <v>467.09361000000001</v>
      </c>
      <c r="L20" s="7">
        <f>G20-J20</f>
        <v>0.50534999999996444</v>
      </c>
      <c r="M20" s="1" t="s">
        <v>1396</v>
      </c>
      <c r="N20" s="2">
        <v>14738209.3157287</v>
      </c>
      <c r="O20" s="1">
        <v>22380759.688097902</v>
      </c>
      <c r="P20" s="1">
        <v>19491911.9962813</v>
      </c>
      <c r="Q20" s="1">
        <f>STDEV(N20:P20)</f>
        <v>3859009.0773800015</v>
      </c>
      <c r="R20" s="1">
        <v>18870293.666702632</v>
      </c>
      <c r="S20" s="1">
        <v>2.3140976961900841E-2</v>
      </c>
    </row>
    <row r="21" spans="1:19" x14ac:dyDescent="0.3">
      <c r="A21" s="1">
        <v>151</v>
      </c>
      <c r="B21" s="1" t="s">
        <v>3399</v>
      </c>
      <c r="C21" s="1" t="s">
        <v>3400</v>
      </c>
      <c r="D21" s="1">
        <v>2.992</v>
      </c>
      <c r="E21" s="1" t="s">
        <v>3401</v>
      </c>
      <c r="F21" s="1" t="s">
        <v>3402</v>
      </c>
      <c r="G21" s="1">
        <v>352.93184000000002</v>
      </c>
      <c r="H21" s="2">
        <v>15430236.390309</v>
      </c>
      <c r="I21" s="1" t="s">
        <v>17</v>
      </c>
      <c r="J21" s="1">
        <v>352.42685999999998</v>
      </c>
      <c r="K21" s="1">
        <v>351.92455999999999</v>
      </c>
      <c r="L21" s="7">
        <f>G21-J21</f>
        <v>0.50498000000004595</v>
      </c>
      <c r="M21" s="1" t="s">
        <v>3403</v>
      </c>
      <c r="N21" s="2">
        <v>889670.17289251904</v>
      </c>
      <c r="O21" s="1">
        <v>1225634.46683396</v>
      </c>
      <c r="P21" s="1">
        <v>1325600.1433796801</v>
      </c>
      <c r="Q21" s="1">
        <f>STDEV(N21:P21)</f>
        <v>228363.77502417442</v>
      </c>
      <c r="R21" s="1">
        <v>1146968.2610353865</v>
      </c>
      <c r="S21" s="1">
        <v>1.4065475913332332E-3</v>
      </c>
    </row>
    <row r="22" spans="1:19" x14ac:dyDescent="0.3">
      <c r="A22" s="1">
        <v>825</v>
      </c>
      <c r="B22" s="1" t="s">
        <v>286</v>
      </c>
      <c r="C22" s="1" t="s">
        <v>287</v>
      </c>
      <c r="D22" s="1">
        <v>12.122</v>
      </c>
      <c r="E22" s="1" t="s">
        <v>288</v>
      </c>
      <c r="F22" s="1" t="s">
        <v>289</v>
      </c>
      <c r="G22" s="1">
        <v>1051.6557499999999</v>
      </c>
      <c r="H22" s="2">
        <v>610757896.10939002</v>
      </c>
      <c r="I22" s="1" t="s">
        <v>290</v>
      </c>
      <c r="J22" s="1">
        <v>1051.17228</v>
      </c>
      <c r="K22" s="1">
        <v>526.83515</v>
      </c>
      <c r="L22" s="7">
        <f>G22-J22</f>
        <v>0.48346999999989748</v>
      </c>
      <c r="M22" s="1" t="s">
        <v>291</v>
      </c>
      <c r="N22" s="2">
        <v>205325569.634976</v>
      </c>
      <c r="O22" s="1">
        <v>236474446.40933201</v>
      </c>
      <c r="P22" s="1">
        <v>120558373.90002801</v>
      </c>
      <c r="Q22" s="1">
        <f>STDEV(N22:P22)</f>
        <v>59989257.181394801</v>
      </c>
      <c r="R22" s="1">
        <v>187452796.64811203</v>
      </c>
      <c r="S22" s="1">
        <v>0.22987670066481969</v>
      </c>
    </row>
    <row r="23" spans="1:19" x14ac:dyDescent="0.3">
      <c r="A23" s="1">
        <v>819</v>
      </c>
      <c r="B23" s="1" t="s">
        <v>1649</v>
      </c>
      <c r="C23" s="1" t="s">
        <v>1650</v>
      </c>
      <c r="D23" s="1">
        <v>7.3819999999999997</v>
      </c>
      <c r="E23" s="1" t="s">
        <v>1651</v>
      </c>
      <c r="F23" s="1" t="s">
        <v>1652</v>
      </c>
      <c r="G23" s="1">
        <v>1065.6622</v>
      </c>
      <c r="H23" s="2">
        <v>111554937.59110799</v>
      </c>
      <c r="I23" s="1" t="s">
        <v>290</v>
      </c>
      <c r="J23" s="1">
        <v>1065.19886</v>
      </c>
      <c r="K23" s="1">
        <v>533.83838000000003</v>
      </c>
      <c r="L23" s="7">
        <f>G23-J23</f>
        <v>0.46334000000001652</v>
      </c>
      <c r="M23" s="1" t="s">
        <v>1653</v>
      </c>
      <c r="N23" s="2">
        <v>3616504.9883988602</v>
      </c>
      <c r="O23" s="1">
        <v>15952142.522640901</v>
      </c>
      <c r="P23" s="1">
        <v>17869807.5119523</v>
      </c>
      <c r="Q23" s="1">
        <f>STDEV(N23:P23)</f>
        <v>7735222.7420564769</v>
      </c>
      <c r="R23" s="1">
        <v>12479485.007664019</v>
      </c>
      <c r="S23" s="1">
        <v>1.5303814564810763E-2</v>
      </c>
    </row>
    <row r="24" spans="1:19" x14ac:dyDescent="0.3">
      <c r="A24" s="1">
        <v>377</v>
      </c>
      <c r="B24" s="1" t="s">
        <v>3131</v>
      </c>
      <c r="C24" s="1" t="s">
        <v>3132</v>
      </c>
      <c r="D24" s="1">
        <v>11.804</v>
      </c>
      <c r="E24" s="1" t="s">
        <v>3133</v>
      </c>
      <c r="F24" s="1" t="s">
        <v>3134</v>
      </c>
      <c r="G24" s="1">
        <v>1034.6286399999999</v>
      </c>
      <c r="H24" s="2">
        <v>86775653.685457498</v>
      </c>
      <c r="I24" s="1" t="s">
        <v>290</v>
      </c>
      <c r="J24" s="1">
        <v>1034.18812</v>
      </c>
      <c r="K24" s="1">
        <v>518.32159000000001</v>
      </c>
      <c r="L24" s="7">
        <f>G24-J24</f>
        <v>0.44051999999987856</v>
      </c>
      <c r="M24" s="1" t="s">
        <v>3135</v>
      </c>
      <c r="N24" s="2">
        <v>2383589.9511553999</v>
      </c>
      <c r="O24" s="1">
        <v>1215691.6650971801</v>
      </c>
      <c r="P24" s="1">
        <v>1399110.8973340499</v>
      </c>
      <c r="Q24" s="1">
        <f>STDEV(N24:P24)</f>
        <v>628069.53287369397</v>
      </c>
      <c r="R24" s="1">
        <v>1666130.8378622096</v>
      </c>
      <c r="S24" s="1">
        <v>2.0432058989370851E-3</v>
      </c>
    </row>
    <row r="25" spans="1:19" x14ac:dyDescent="0.3">
      <c r="A25" s="1">
        <v>354</v>
      </c>
      <c r="B25" s="1" t="s">
        <v>1155</v>
      </c>
      <c r="C25" s="1" t="s">
        <v>1156</v>
      </c>
      <c r="D25" s="1">
        <v>3.3620000000000001</v>
      </c>
      <c r="E25" s="1" t="s">
        <v>1157</v>
      </c>
      <c r="F25" s="1" t="s">
        <v>1158</v>
      </c>
      <c r="G25" s="1">
        <v>412.05146999999999</v>
      </c>
      <c r="H25" s="2">
        <v>86632208.570305794</v>
      </c>
      <c r="I25" s="1" t="s">
        <v>17</v>
      </c>
      <c r="J25" s="1">
        <v>411.61993999999999</v>
      </c>
      <c r="K25" s="1">
        <v>411.04419000000001</v>
      </c>
      <c r="L25" s="7">
        <f>G25-J25</f>
        <v>0.4315300000000093</v>
      </c>
      <c r="M25" s="1" t="s">
        <v>1159</v>
      </c>
      <c r="N25" s="2">
        <v>8830726.8655035906</v>
      </c>
      <c r="O25" s="1">
        <v>41560999.811622098</v>
      </c>
      <c r="P25" s="1">
        <v>42573477.2933378</v>
      </c>
      <c r="Q25" s="1">
        <f>STDEV(N25:P25)</f>
        <v>19195785.493233945</v>
      </c>
      <c r="R25" s="1">
        <v>30988401.323487829</v>
      </c>
      <c r="S25" s="1">
        <v>3.800162804982328E-2</v>
      </c>
    </row>
    <row r="26" spans="1:19" x14ac:dyDescent="0.3">
      <c r="A26" s="1">
        <v>578</v>
      </c>
      <c r="B26" s="1" t="s">
        <v>4245</v>
      </c>
      <c r="C26" s="1" t="s">
        <v>4246</v>
      </c>
      <c r="D26" s="1">
        <v>7.181</v>
      </c>
      <c r="E26" s="1" t="s">
        <v>4247</v>
      </c>
      <c r="F26" s="1" t="s">
        <v>4248</v>
      </c>
      <c r="G26" s="1">
        <v>953.51009999999997</v>
      </c>
      <c r="H26" s="2">
        <v>13390186.0443229</v>
      </c>
      <c r="I26" s="1" t="s">
        <v>290</v>
      </c>
      <c r="J26" s="1">
        <v>953.08004000000005</v>
      </c>
      <c r="K26" s="1">
        <v>477.76233000000002</v>
      </c>
      <c r="L26" s="7">
        <f>G26-J26</f>
        <v>0.43005999999991218</v>
      </c>
      <c r="M26" s="1" t="s">
        <v>3955</v>
      </c>
      <c r="N26" s="2">
        <v>297362.14132365101</v>
      </c>
      <c r="O26" s="1">
        <v>407610.18276021001</v>
      </c>
      <c r="P26" s="1">
        <v>416945.85188736499</v>
      </c>
      <c r="Q26" s="1">
        <f>STDEV(N26:P26)</f>
        <v>66510.712408898617</v>
      </c>
      <c r="R26" s="1">
        <v>373972.72532374196</v>
      </c>
      <c r="S26" s="1">
        <v>4.5860940873254506E-4</v>
      </c>
    </row>
    <row r="27" spans="1:19" x14ac:dyDescent="0.3">
      <c r="A27" s="1">
        <v>782</v>
      </c>
      <c r="B27" s="1" t="s">
        <v>2215</v>
      </c>
      <c r="C27" s="1" t="s">
        <v>2216</v>
      </c>
      <c r="D27" s="1">
        <v>12.272</v>
      </c>
      <c r="E27" s="1" t="s">
        <v>2217</v>
      </c>
      <c r="F27" s="1" t="s">
        <v>2218</v>
      </c>
      <c r="G27" s="1">
        <v>1233.77439</v>
      </c>
      <c r="H27" s="2">
        <v>9482679.9901686292</v>
      </c>
      <c r="I27" s="1" t="s">
        <v>290</v>
      </c>
      <c r="J27" s="1">
        <v>1233.3455799999999</v>
      </c>
      <c r="K27" s="1">
        <v>617.89446999999996</v>
      </c>
      <c r="L27" s="7">
        <f>G27-J27</f>
        <v>0.42881000000011227</v>
      </c>
      <c r="M27" s="1" t="s">
        <v>2219</v>
      </c>
      <c r="N27" s="2">
        <v>9482679.9901686292</v>
      </c>
      <c r="O27" s="1">
        <v>4934581.7246105103</v>
      </c>
      <c r="P27" s="1">
        <v>1887597.2148677099</v>
      </c>
      <c r="Q27" s="1">
        <f>STDEV(N27:P27)</f>
        <v>3822185.1254541576</v>
      </c>
      <c r="R27" s="1">
        <v>5434952.9765489493</v>
      </c>
      <c r="S27" s="1">
        <v>6.6649795620965834E-3</v>
      </c>
    </row>
    <row r="28" spans="1:19" x14ac:dyDescent="0.3">
      <c r="A28" s="1">
        <v>912</v>
      </c>
      <c r="B28" s="1" t="s">
        <v>4270</v>
      </c>
      <c r="C28" s="1" t="s">
        <v>4271</v>
      </c>
      <c r="D28" s="1">
        <v>3.323</v>
      </c>
      <c r="E28" s="1" t="s">
        <v>4272</v>
      </c>
      <c r="F28" s="1" t="s">
        <v>4273</v>
      </c>
      <c r="G28" s="1">
        <v>427.14526000000001</v>
      </c>
      <c r="H28" s="2">
        <v>3797594.84026164</v>
      </c>
      <c r="I28" s="1" t="s">
        <v>4274</v>
      </c>
      <c r="J28" s="1">
        <v>426.7174</v>
      </c>
      <c r="K28" s="1">
        <v>462.11464999999998</v>
      </c>
      <c r="L28" s="7">
        <f>G28-J28</f>
        <v>0.42786000000000968</v>
      </c>
      <c r="M28" s="1" t="s">
        <v>4275</v>
      </c>
      <c r="N28" s="2">
        <v>286705.70582832501</v>
      </c>
      <c r="O28" s="1">
        <v>357499.759904454</v>
      </c>
      <c r="P28" s="1">
        <v>366893.69866810698</v>
      </c>
      <c r="Q28" s="1">
        <f>STDEV(N28:P28)</f>
        <v>43837.119685075457</v>
      </c>
      <c r="R28" s="1">
        <v>337033.05480029533</v>
      </c>
      <c r="S28" s="1">
        <v>4.1330963334687375E-4</v>
      </c>
    </row>
    <row r="29" spans="1:19" x14ac:dyDescent="0.3">
      <c r="A29" s="1">
        <v>776</v>
      </c>
      <c r="B29" s="1" t="s">
        <v>1581</v>
      </c>
      <c r="C29" s="1" t="s">
        <v>1582</v>
      </c>
      <c r="D29" s="1">
        <v>8.4969999999999999</v>
      </c>
      <c r="E29" s="1" t="s">
        <v>1583</v>
      </c>
      <c r="F29" s="1" t="s">
        <v>1584</v>
      </c>
      <c r="G29" s="1">
        <v>1031.60886</v>
      </c>
      <c r="H29" s="2">
        <v>28300155.0621581</v>
      </c>
      <c r="I29" s="1" t="s">
        <v>290</v>
      </c>
      <c r="J29" s="1">
        <v>1031.18418</v>
      </c>
      <c r="K29" s="1">
        <v>516.81170999999995</v>
      </c>
      <c r="L29" s="7">
        <f>G29-J29</f>
        <v>0.42468000000008033</v>
      </c>
      <c r="M29" s="1" t="s">
        <v>24</v>
      </c>
      <c r="N29" s="2">
        <v>5027181.2056239797</v>
      </c>
      <c r="O29" s="1">
        <v>7424386.5598079199</v>
      </c>
      <c r="P29" s="1">
        <v>28300155.0621581</v>
      </c>
      <c r="Q29" s="1">
        <f>STDEV(N29:P29)</f>
        <v>12800882.887524884</v>
      </c>
      <c r="R29" s="1">
        <v>13583907.609196668</v>
      </c>
      <c r="S29" s="1">
        <v>1.66581876567021E-2</v>
      </c>
    </row>
    <row r="30" spans="1:19" x14ac:dyDescent="0.3">
      <c r="A30" s="1">
        <v>916</v>
      </c>
      <c r="B30" s="1" t="s">
        <v>3516</v>
      </c>
      <c r="C30" s="1" t="s">
        <v>3517</v>
      </c>
      <c r="D30" s="1">
        <v>1.3779999999999999</v>
      </c>
      <c r="E30" s="1" t="s">
        <v>3518</v>
      </c>
      <c r="F30" s="1" t="s">
        <v>3519</v>
      </c>
      <c r="G30" s="1">
        <v>361.81076999999999</v>
      </c>
      <c r="H30" s="2">
        <v>1292414.3810453201</v>
      </c>
      <c r="I30" s="1" t="s">
        <v>17</v>
      </c>
      <c r="J30" s="1">
        <v>361.38902000000002</v>
      </c>
      <c r="K30" s="1">
        <v>360.80349999999999</v>
      </c>
      <c r="L30" s="7">
        <f>G30-J30</f>
        <v>0.42174999999997453</v>
      </c>
      <c r="M30" s="1" t="s">
        <v>3520</v>
      </c>
      <c r="N30" s="2">
        <v>1292414.3810453201</v>
      </c>
      <c r="O30" s="1">
        <v>881647.98809174495</v>
      </c>
      <c r="P30" s="1">
        <v>895191.37924816494</v>
      </c>
      <c r="Q30" s="1">
        <f>STDEV(N30:P30)</f>
        <v>233344.72573885531</v>
      </c>
      <c r="R30" s="1">
        <v>1023084.5827950767</v>
      </c>
      <c r="S30" s="1">
        <v>1.2546268319243263E-3</v>
      </c>
    </row>
    <row r="31" spans="1:19" x14ac:dyDescent="0.3">
      <c r="A31" s="1">
        <v>242</v>
      </c>
      <c r="B31" s="1" t="s">
        <v>893</v>
      </c>
      <c r="C31" s="1" t="s">
        <v>894</v>
      </c>
      <c r="D31" s="1">
        <v>1.1319999999999999</v>
      </c>
      <c r="E31" s="1" t="s">
        <v>895</v>
      </c>
      <c r="F31" s="1" t="s">
        <v>896</v>
      </c>
      <c r="G31" s="1">
        <v>630.15340000000003</v>
      </c>
      <c r="H31" s="2">
        <v>62941001.528935403</v>
      </c>
      <c r="I31" s="1" t="s">
        <v>17</v>
      </c>
      <c r="J31" s="1">
        <v>629.73767999999995</v>
      </c>
      <c r="K31" s="1">
        <v>629.14612</v>
      </c>
      <c r="L31" s="7">
        <f>G31-J31</f>
        <v>0.41572000000007847</v>
      </c>
      <c r="M31" s="1" t="s">
        <v>897</v>
      </c>
      <c r="N31" s="2">
        <v>23810368.115201801</v>
      </c>
      <c r="O31" s="1">
        <v>59589771.3466205</v>
      </c>
      <c r="P31" s="1">
        <v>62941001.528935403</v>
      </c>
      <c r="Q31" s="1">
        <f>STDEV(N31:P31)</f>
        <v>21689486.35741641</v>
      </c>
      <c r="R31" s="1">
        <v>48780380.330252565</v>
      </c>
      <c r="S31" s="1">
        <v>5.9820248553258737E-2</v>
      </c>
    </row>
    <row r="32" spans="1:19" x14ac:dyDescent="0.3">
      <c r="A32" s="1">
        <v>357</v>
      </c>
      <c r="B32" s="1" t="s">
        <v>1755</v>
      </c>
      <c r="C32" s="1" t="s">
        <v>1756</v>
      </c>
      <c r="D32" s="1">
        <v>12.541</v>
      </c>
      <c r="E32" s="1" t="s">
        <v>1757</v>
      </c>
      <c r="F32" s="1" t="s">
        <v>1758</v>
      </c>
      <c r="G32" s="1">
        <v>1018.58619</v>
      </c>
      <c r="H32" s="2">
        <v>15236952.7410683</v>
      </c>
      <c r="I32" s="1" t="s">
        <v>290</v>
      </c>
      <c r="J32" s="1">
        <v>1018.18872</v>
      </c>
      <c r="K32" s="1">
        <v>510.30036999999999</v>
      </c>
      <c r="L32" s="7">
        <f>G32-J32</f>
        <v>0.39746999999999844</v>
      </c>
      <c r="M32" s="1" t="s">
        <v>24</v>
      </c>
      <c r="N32" s="2">
        <v>12606486.6618797</v>
      </c>
      <c r="O32" s="1">
        <v>15236952.7410683</v>
      </c>
      <c r="P32" s="1">
        <v>2105191.8231060901</v>
      </c>
      <c r="Q32" s="1">
        <f>STDEV(N32:P32)</f>
        <v>6947897.6423463859</v>
      </c>
      <c r="R32" s="1">
        <v>9982877.075351363</v>
      </c>
      <c r="S32" s="1">
        <v>1.2242179824780699E-2</v>
      </c>
    </row>
    <row r="33" spans="1:19" x14ac:dyDescent="0.3">
      <c r="A33" s="1">
        <v>864</v>
      </c>
      <c r="B33" s="1" t="s">
        <v>1660</v>
      </c>
      <c r="C33" s="1" t="s">
        <v>1661</v>
      </c>
      <c r="D33" s="1">
        <v>7.7960000000000003</v>
      </c>
      <c r="E33" s="1" t="s">
        <v>1662</v>
      </c>
      <c r="F33" s="1" t="s">
        <v>1663</v>
      </c>
      <c r="G33" s="1">
        <v>553.26670999999999</v>
      </c>
      <c r="H33" s="2">
        <v>15393226.7398491</v>
      </c>
      <c r="I33" s="1" t="s">
        <v>23</v>
      </c>
      <c r="J33" s="1">
        <v>552.87203999999997</v>
      </c>
      <c r="K33" s="1">
        <v>554.27399000000003</v>
      </c>
      <c r="L33" s="7">
        <f>G33-J33</f>
        <v>0.39467000000001917</v>
      </c>
      <c r="M33" s="1" t="s">
        <v>1664</v>
      </c>
      <c r="N33" s="2">
        <v>15393226.7398491</v>
      </c>
      <c r="O33" s="1">
        <v>8171568.2208710099</v>
      </c>
      <c r="P33" s="1">
        <v>12702670.3487215</v>
      </c>
      <c r="Q33" s="1">
        <f>STDEV(N33:P33)</f>
        <v>3649710.7636902202</v>
      </c>
      <c r="R33" s="1">
        <v>12089155.103147203</v>
      </c>
      <c r="S33" s="1">
        <v>1.4825146056121733E-2</v>
      </c>
    </row>
    <row r="34" spans="1:19" x14ac:dyDescent="0.3">
      <c r="A34" s="1">
        <v>784</v>
      </c>
      <c r="B34" s="1" t="s">
        <v>504</v>
      </c>
      <c r="C34" s="1" t="s">
        <v>505</v>
      </c>
      <c r="D34" s="1">
        <v>8.6999999999999993</v>
      </c>
      <c r="E34" s="1" t="s">
        <v>506</v>
      </c>
      <c r="F34" s="1" t="s">
        <v>507</v>
      </c>
      <c r="G34" s="1">
        <v>981.56191999999999</v>
      </c>
      <c r="H34" s="2">
        <v>785261471.14453006</v>
      </c>
      <c r="I34" s="1" t="s">
        <v>290</v>
      </c>
      <c r="J34" s="1">
        <v>981.17010000000005</v>
      </c>
      <c r="K34" s="1">
        <v>491.78823999999997</v>
      </c>
      <c r="L34" s="7">
        <f>G34-J34</f>
        <v>0.39181999999993877</v>
      </c>
      <c r="M34" s="1" t="s">
        <v>508</v>
      </c>
      <c r="N34" s="2">
        <v>47559530.116820097</v>
      </c>
      <c r="O34" s="1">
        <v>118037463.99738599</v>
      </c>
      <c r="P34" s="1">
        <v>133879042.284822</v>
      </c>
      <c r="Q34" s="1">
        <f>STDEV(N34:P34)</f>
        <v>45951338.296855271</v>
      </c>
      <c r="R34" s="1">
        <v>99825345.466342688</v>
      </c>
      <c r="S34" s="1">
        <v>0.12241759775718872</v>
      </c>
    </row>
    <row r="35" spans="1:19" x14ac:dyDescent="0.3">
      <c r="A35" s="1">
        <v>267</v>
      </c>
      <c r="B35" s="1" t="s">
        <v>4064</v>
      </c>
      <c r="C35" s="1" t="s">
        <v>4065</v>
      </c>
      <c r="D35" s="1">
        <v>0.47899999999999998</v>
      </c>
      <c r="E35" s="1" t="s">
        <v>4066</v>
      </c>
      <c r="F35" s="1" t="s">
        <v>4067</v>
      </c>
      <c r="G35" s="1">
        <v>343.88862</v>
      </c>
      <c r="H35" s="2">
        <v>1156801.2546510799</v>
      </c>
      <c r="I35" s="1" t="s">
        <v>17</v>
      </c>
      <c r="J35" s="1">
        <v>343.50292000000002</v>
      </c>
      <c r="K35" s="1">
        <v>342.88134000000002</v>
      </c>
      <c r="L35" s="7">
        <f>G35-J35</f>
        <v>0.38569999999998572</v>
      </c>
      <c r="M35" s="1" t="s">
        <v>4068</v>
      </c>
      <c r="N35" s="2">
        <v>1156801.2546510799</v>
      </c>
      <c r="O35" s="1">
        <v>312188.982277075</v>
      </c>
      <c r="P35" s="1">
        <v>196736.961350183</v>
      </c>
      <c r="Q35" s="1">
        <f>STDEV(N35:P35)</f>
        <v>524153.68405526417</v>
      </c>
      <c r="R35" s="1">
        <v>555242.39942611265</v>
      </c>
      <c r="S35" s="1">
        <v>6.8090363617724289E-4</v>
      </c>
    </row>
    <row r="36" spans="1:19" x14ac:dyDescent="0.3">
      <c r="A36" s="1">
        <v>821</v>
      </c>
      <c r="B36" s="1" t="s">
        <v>2153</v>
      </c>
      <c r="C36" s="1" t="s">
        <v>2154</v>
      </c>
      <c r="D36" s="1">
        <v>9.2289999999999992</v>
      </c>
      <c r="E36" s="1" t="s">
        <v>2155</v>
      </c>
      <c r="F36" s="1" t="s">
        <v>2156</v>
      </c>
      <c r="G36" s="1">
        <v>1229.6956499999999</v>
      </c>
      <c r="H36" s="2">
        <v>11651406.475966999</v>
      </c>
      <c r="I36" s="1" t="s">
        <v>290</v>
      </c>
      <c r="J36" s="1">
        <v>1229.3122800000001</v>
      </c>
      <c r="K36" s="1">
        <v>615.85509999999999</v>
      </c>
      <c r="L36" s="7">
        <f>G36-J36</f>
        <v>0.38336999999978616</v>
      </c>
      <c r="M36" s="1" t="s">
        <v>24</v>
      </c>
      <c r="N36" s="2">
        <v>9257397.2391345203</v>
      </c>
      <c r="O36" s="1">
        <v>4726118.9226168599</v>
      </c>
      <c r="P36" s="1">
        <v>4028234.49491484</v>
      </c>
      <c r="Q36" s="1">
        <f>STDEV(N36:P36)</f>
        <v>2839121.6030581011</v>
      </c>
      <c r="R36" s="1">
        <v>6003916.8855554061</v>
      </c>
      <c r="S36" s="1">
        <v>7.3627101296766771E-3</v>
      </c>
    </row>
    <row r="37" spans="1:19" x14ac:dyDescent="0.3">
      <c r="A37" s="1">
        <v>169</v>
      </c>
      <c r="B37" s="1" t="s">
        <v>3560</v>
      </c>
      <c r="C37" s="1" t="s">
        <v>3561</v>
      </c>
      <c r="D37" s="1">
        <v>7.4889999999999999</v>
      </c>
      <c r="E37" s="1" t="s">
        <v>3562</v>
      </c>
      <c r="F37" s="1" t="s">
        <v>3563</v>
      </c>
      <c r="G37" s="1">
        <v>700.21882000000005</v>
      </c>
      <c r="H37" s="2">
        <v>16764159.4054536</v>
      </c>
      <c r="I37" s="1" t="s">
        <v>17</v>
      </c>
      <c r="J37" s="1">
        <v>699.83565999999996</v>
      </c>
      <c r="K37" s="1">
        <v>699.21154999999999</v>
      </c>
      <c r="L37" s="7">
        <f>G37-J37</f>
        <v>0.38316000000008898</v>
      </c>
      <c r="M37" s="1" t="s">
        <v>3564</v>
      </c>
      <c r="N37" s="2">
        <v>849255.20930705604</v>
      </c>
      <c r="O37" s="1">
        <v>989893.30364149902</v>
      </c>
      <c r="P37" s="1">
        <v>1019322.5126955</v>
      </c>
      <c r="Q37" s="1">
        <f>STDEV(N37:P37)</f>
        <v>90891.913469960607</v>
      </c>
      <c r="R37" s="1">
        <v>952823.67521468503</v>
      </c>
      <c r="S37" s="1">
        <v>1.168464630510945E-3</v>
      </c>
    </row>
    <row r="38" spans="1:19" x14ac:dyDescent="0.3">
      <c r="A38" s="1">
        <v>779</v>
      </c>
      <c r="B38" s="1" t="s">
        <v>855</v>
      </c>
      <c r="C38" s="1" t="s">
        <v>856</v>
      </c>
      <c r="D38" s="1">
        <v>7.9459999999999997</v>
      </c>
      <c r="E38" s="1" t="s">
        <v>857</v>
      </c>
      <c r="F38" s="1" t="s">
        <v>858</v>
      </c>
      <c r="G38" s="1">
        <v>1091.6582100000001</v>
      </c>
      <c r="H38" s="2">
        <v>140042471.96403199</v>
      </c>
      <c r="I38" s="1" t="s">
        <v>290</v>
      </c>
      <c r="J38" s="1">
        <v>1091.2791999999999</v>
      </c>
      <c r="K38" s="1">
        <v>546.83637999999996</v>
      </c>
      <c r="L38" s="7">
        <f>G38-J38</f>
        <v>0.37901000000010754</v>
      </c>
      <c r="M38" s="1" t="s">
        <v>859</v>
      </c>
      <c r="N38" s="2">
        <v>32737504.9488414</v>
      </c>
      <c r="O38" s="1">
        <v>58656010.8087973</v>
      </c>
      <c r="P38" s="1">
        <v>62483888.934992298</v>
      </c>
      <c r="Q38" s="1">
        <f>STDEV(N38:P38)</f>
        <v>16182649.954056257</v>
      </c>
      <c r="R38" s="1">
        <v>51292468.230877005</v>
      </c>
      <c r="S38" s="1">
        <v>6.290086665392966E-2</v>
      </c>
    </row>
    <row r="39" spans="1:19" x14ac:dyDescent="0.3">
      <c r="A39" s="1">
        <v>378</v>
      </c>
      <c r="B39" s="1" t="s">
        <v>3073</v>
      </c>
      <c r="C39" s="1" t="s">
        <v>3074</v>
      </c>
      <c r="D39" s="1">
        <v>1.5649999999999999</v>
      </c>
      <c r="E39" s="1" t="s">
        <v>3075</v>
      </c>
      <c r="F39" s="1" t="s">
        <v>3076</v>
      </c>
      <c r="G39" s="1">
        <v>509.98090999999999</v>
      </c>
      <c r="H39" s="2">
        <v>14482958.441762</v>
      </c>
      <c r="I39" s="1" t="s">
        <v>17</v>
      </c>
      <c r="J39" s="1">
        <v>509.63222000000002</v>
      </c>
      <c r="K39" s="1">
        <v>508.97363000000001</v>
      </c>
      <c r="L39" s="7">
        <f>G39-J39</f>
        <v>0.34868999999997641</v>
      </c>
      <c r="M39" s="1" t="s">
        <v>3077</v>
      </c>
      <c r="N39" s="2">
        <v>1689966.24622652</v>
      </c>
      <c r="O39" s="1">
        <v>1911362.83895018</v>
      </c>
      <c r="P39" s="1">
        <v>1743972.9123847201</v>
      </c>
      <c r="Q39" s="1">
        <f>STDEV(N39:P39)</f>
        <v>115435.81100533713</v>
      </c>
      <c r="R39" s="1">
        <v>1781767.332520473</v>
      </c>
      <c r="S39" s="1">
        <v>2.1850129903425385E-3</v>
      </c>
    </row>
    <row r="40" spans="1:19" x14ac:dyDescent="0.3">
      <c r="A40" s="1">
        <v>266</v>
      </c>
      <c r="B40" s="1" t="s">
        <v>3894</v>
      </c>
      <c r="C40" s="1" t="s">
        <v>3895</v>
      </c>
      <c r="D40" s="1">
        <v>0.64700000000000002</v>
      </c>
      <c r="E40" s="1" t="s">
        <v>3896</v>
      </c>
      <c r="F40" s="1" t="s">
        <v>3897</v>
      </c>
      <c r="G40" s="1">
        <v>509.98018000000002</v>
      </c>
      <c r="H40" s="2">
        <v>13554979.1386171</v>
      </c>
      <c r="I40" s="1" t="s">
        <v>17</v>
      </c>
      <c r="J40" s="1">
        <v>509.63222000000002</v>
      </c>
      <c r="K40" s="1">
        <v>508.97289999999998</v>
      </c>
      <c r="L40" s="7">
        <f>G40-J40</f>
        <v>0.34796000000000049</v>
      </c>
      <c r="M40" s="1" t="s">
        <v>3898</v>
      </c>
      <c r="N40" s="2">
        <v>628700.41662213299</v>
      </c>
      <c r="O40" s="1">
        <v>731801.74342751503</v>
      </c>
      <c r="P40" s="1">
        <v>704105.39960068499</v>
      </c>
      <c r="Q40" s="1">
        <f>STDEV(N40:P40)</f>
        <v>53358.664570370529</v>
      </c>
      <c r="R40" s="1">
        <v>688202.51988344442</v>
      </c>
      <c r="S40" s="1">
        <v>8.4395499821215687E-4</v>
      </c>
    </row>
    <row r="41" spans="1:19" x14ac:dyDescent="0.3">
      <c r="A41" s="1">
        <v>294</v>
      </c>
      <c r="B41" s="1" t="s">
        <v>4388</v>
      </c>
      <c r="C41" s="1" t="s">
        <v>4389</v>
      </c>
      <c r="D41" s="1">
        <v>7.4489999999999998</v>
      </c>
      <c r="E41" s="1" t="s">
        <v>4390</v>
      </c>
      <c r="F41" s="1" t="s">
        <v>4391</v>
      </c>
      <c r="G41" s="1">
        <v>484.07526999999999</v>
      </c>
      <c r="H41" s="2">
        <v>3623243.4201136101</v>
      </c>
      <c r="I41" s="1" t="s">
        <v>17</v>
      </c>
      <c r="J41" s="1">
        <v>483.72895999999997</v>
      </c>
      <c r="K41" s="1">
        <v>483.06799000000001</v>
      </c>
      <c r="L41" s="7">
        <f>G41-J41</f>
        <v>0.34631000000001677</v>
      </c>
      <c r="M41" s="1" t="s">
        <v>4392</v>
      </c>
      <c r="N41" s="2">
        <v>197138.89077681999</v>
      </c>
      <c r="O41" s="1">
        <v>270105.34495001897</v>
      </c>
      <c r="P41" s="1">
        <v>278135.48984936898</v>
      </c>
      <c r="Q41" s="1">
        <f>STDEV(N41:P41)</f>
        <v>44626.292181166951</v>
      </c>
      <c r="R41" s="1">
        <v>248459.90852540266</v>
      </c>
      <c r="S41" s="1">
        <v>3.0469080771581929E-4</v>
      </c>
    </row>
    <row r="42" spans="1:19" x14ac:dyDescent="0.3">
      <c r="A42" s="1">
        <v>425</v>
      </c>
      <c r="B42" s="1" t="s">
        <v>1512</v>
      </c>
      <c r="C42" s="1" t="s">
        <v>1513</v>
      </c>
      <c r="D42" s="1">
        <v>6.8970000000000002</v>
      </c>
      <c r="E42" s="1" t="s">
        <v>1514</v>
      </c>
      <c r="F42" s="1" t="s">
        <v>1515</v>
      </c>
      <c r="G42" s="1">
        <v>320.65924999999999</v>
      </c>
      <c r="H42" s="2">
        <v>89770174.430643097</v>
      </c>
      <c r="I42" s="1" t="s">
        <v>1516</v>
      </c>
      <c r="J42" s="1">
        <v>320.34194000000002</v>
      </c>
      <c r="K42" s="1">
        <v>642.32572000000005</v>
      </c>
      <c r="L42" s="7">
        <f>G42-J42</f>
        <v>0.31730999999996357</v>
      </c>
      <c r="M42" s="1" t="s">
        <v>24</v>
      </c>
      <c r="N42" s="2">
        <v>16942349.152117498</v>
      </c>
      <c r="O42" s="1">
        <v>13737119.6701151</v>
      </c>
      <c r="P42" s="1">
        <v>13849424.7141359</v>
      </c>
      <c r="Q42" s="1">
        <f>STDEV(N42:P42)</f>
        <v>1818987.3572161726</v>
      </c>
      <c r="R42" s="1">
        <v>14842964.512122832</v>
      </c>
      <c r="S42" s="1">
        <v>1.8202191544450168E-2</v>
      </c>
    </row>
    <row r="43" spans="1:19" x14ac:dyDescent="0.3">
      <c r="A43" s="1">
        <v>125</v>
      </c>
      <c r="B43" s="1" t="s">
        <v>2907</v>
      </c>
      <c r="C43" s="1" t="s">
        <v>2908</v>
      </c>
      <c r="D43" s="1">
        <v>7.97</v>
      </c>
      <c r="E43" s="1" t="s">
        <v>2909</v>
      </c>
      <c r="F43" s="1" t="s">
        <v>2910</v>
      </c>
      <c r="G43" s="1">
        <v>863.46505999999999</v>
      </c>
      <c r="H43" s="2">
        <v>5414044.7879661201</v>
      </c>
      <c r="I43" s="1" t="s">
        <v>290</v>
      </c>
      <c r="J43" s="1">
        <v>863.14778000000001</v>
      </c>
      <c r="K43" s="1">
        <v>432.73980999999998</v>
      </c>
      <c r="L43" s="7">
        <f>G43-J43</f>
        <v>0.31727999999998246</v>
      </c>
      <c r="M43" s="1" t="s">
        <v>2911</v>
      </c>
      <c r="N43" s="2">
        <v>837602.14881834202</v>
      </c>
      <c r="O43" s="1">
        <v>2882224.87037024</v>
      </c>
      <c r="P43" s="1">
        <v>2681368.8656633501</v>
      </c>
      <c r="Q43" s="1">
        <f>STDEV(N43:P43)</f>
        <v>1126965.0182576294</v>
      </c>
      <c r="R43" s="1">
        <v>2133731.961617311</v>
      </c>
      <c r="S43" s="1">
        <v>2.6166334789895027E-3</v>
      </c>
    </row>
    <row r="44" spans="1:19" x14ac:dyDescent="0.3">
      <c r="A44" s="1">
        <v>375</v>
      </c>
      <c r="B44" s="1" t="s">
        <v>4567</v>
      </c>
      <c r="C44" s="1" t="s">
        <v>4568</v>
      </c>
      <c r="D44" s="1">
        <v>23.117000000000001</v>
      </c>
      <c r="E44" s="1" t="s">
        <v>4569</v>
      </c>
      <c r="F44" s="1" t="s">
        <v>4570</v>
      </c>
      <c r="G44" s="1">
        <v>363.88054</v>
      </c>
      <c r="H44" s="2">
        <v>436237.71292629401</v>
      </c>
      <c r="I44" s="1" t="s">
        <v>17</v>
      </c>
      <c r="J44" s="1">
        <v>363.57713999999999</v>
      </c>
      <c r="K44" s="1">
        <v>362.87326999999999</v>
      </c>
      <c r="L44" s="7">
        <f>G44-J44</f>
        <v>0.30340000000001055</v>
      </c>
      <c r="M44" s="1" t="s">
        <v>4571</v>
      </c>
      <c r="N44" s="2">
        <v>100700.256319714</v>
      </c>
      <c r="O44" s="1">
        <v>113319.33475707</v>
      </c>
      <c r="P44" s="1">
        <v>112370.896756477</v>
      </c>
      <c r="Q44" s="1">
        <f>STDEV(N44:P44)</f>
        <v>7027.8555697230022</v>
      </c>
      <c r="R44" s="1">
        <v>108796.82927775367</v>
      </c>
      <c r="S44" s="1">
        <v>1.3341948802242937E-4</v>
      </c>
    </row>
    <row r="45" spans="1:19" x14ac:dyDescent="0.3">
      <c r="A45" s="1">
        <v>265</v>
      </c>
      <c r="B45" s="1" t="s">
        <v>2807</v>
      </c>
      <c r="C45" s="1" t="s">
        <v>2808</v>
      </c>
      <c r="D45" s="1">
        <v>1.3</v>
      </c>
      <c r="E45" s="1" t="s">
        <v>2809</v>
      </c>
      <c r="F45" s="1" t="s">
        <v>2810</v>
      </c>
      <c r="G45" s="1">
        <v>369.75328000000002</v>
      </c>
      <c r="H45" s="2">
        <v>2861304.91023455</v>
      </c>
      <c r="I45" s="1" t="s">
        <v>17</v>
      </c>
      <c r="J45" s="1">
        <v>369.45407999999998</v>
      </c>
      <c r="K45" s="1">
        <v>368.74599999999998</v>
      </c>
      <c r="L45" s="7">
        <f>G45-J45</f>
        <v>0.29920000000004165</v>
      </c>
      <c r="M45" s="1" t="s">
        <v>24</v>
      </c>
      <c r="N45" s="2">
        <v>2304188.5038225702</v>
      </c>
      <c r="O45" s="1">
        <v>2083419.49670991</v>
      </c>
      <c r="P45" s="1">
        <v>2861304.91023455</v>
      </c>
      <c r="Q45" s="1">
        <f>STDEV(N45:P45)</f>
        <v>400878.90136742382</v>
      </c>
      <c r="R45" s="1">
        <v>2416304.3035890101</v>
      </c>
      <c r="S45" s="1">
        <v>2.9631569709463752E-3</v>
      </c>
    </row>
    <row r="46" spans="1:19" x14ac:dyDescent="0.3">
      <c r="A46" s="1">
        <v>892</v>
      </c>
      <c r="B46" s="1" t="s">
        <v>4514</v>
      </c>
      <c r="C46" s="1" t="s">
        <v>4515</v>
      </c>
      <c r="D46" s="1">
        <v>7.5449999999999999</v>
      </c>
      <c r="E46" s="1" t="s">
        <v>4516</v>
      </c>
      <c r="F46" s="1" t="s">
        <v>4517</v>
      </c>
      <c r="G46" s="1">
        <v>439.10712999999998</v>
      </c>
      <c r="H46" s="2">
        <v>739349.23786464497</v>
      </c>
      <c r="I46" s="1" t="s">
        <v>17</v>
      </c>
      <c r="J46" s="1">
        <v>438.81268</v>
      </c>
      <c r="K46" s="1">
        <v>438.09985</v>
      </c>
      <c r="L46" s="7">
        <f>G46-J46</f>
        <v>0.29444999999998345</v>
      </c>
      <c r="M46" s="1" t="s">
        <v>24</v>
      </c>
      <c r="N46" s="2">
        <v>147075.71477775401</v>
      </c>
      <c r="O46" s="1">
        <v>166947.60615612299</v>
      </c>
      <c r="P46" s="1">
        <v>167145.218512119</v>
      </c>
      <c r="Q46" s="1">
        <f>STDEV(N46:P46)</f>
        <v>11530.5109581827</v>
      </c>
      <c r="R46" s="1">
        <v>160389.51314866534</v>
      </c>
      <c r="S46" s="1">
        <v>1.9668851445873187E-4</v>
      </c>
    </row>
    <row r="47" spans="1:19" x14ac:dyDescent="0.3">
      <c r="A47" s="1">
        <v>491</v>
      </c>
      <c r="B47" s="1" t="s">
        <v>4194</v>
      </c>
      <c r="C47" s="1" t="s">
        <v>4195</v>
      </c>
      <c r="D47" s="1">
        <v>0.36399999999999999</v>
      </c>
      <c r="E47" s="1" t="s">
        <v>4196</v>
      </c>
      <c r="F47" s="1" t="s">
        <v>4197</v>
      </c>
      <c r="G47" s="1">
        <v>460.88722000000001</v>
      </c>
      <c r="H47" s="2">
        <v>1398863.3065440201</v>
      </c>
      <c r="I47" s="1" t="s">
        <v>17</v>
      </c>
      <c r="J47" s="1">
        <v>460.60444000000001</v>
      </c>
      <c r="K47" s="1">
        <v>459.87993999999998</v>
      </c>
      <c r="L47" s="7">
        <f>G47-J47</f>
        <v>0.28278000000000247</v>
      </c>
      <c r="M47" s="1" t="s">
        <v>4198</v>
      </c>
      <c r="N47" s="2">
        <v>628646.21269066294</v>
      </c>
      <c r="O47" s="1">
        <v>287990.25743034598</v>
      </c>
      <c r="P47" s="1">
        <v>345930.47339344601</v>
      </c>
      <c r="Q47" s="1">
        <f>STDEV(N47:P47)</f>
        <v>182268.91201671498</v>
      </c>
      <c r="R47" s="1">
        <v>420855.64783815161</v>
      </c>
      <c r="S47" s="1">
        <v>5.1610277099679608E-4</v>
      </c>
    </row>
    <row r="48" spans="1:19" x14ac:dyDescent="0.3">
      <c r="A48" s="1">
        <v>351</v>
      </c>
      <c r="B48" s="1" t="s">
        <v>2480</v>
      </c>
      <c r="C48" s="1" t="s">
        <v>2481</v>
      </c>
      <c r="D48" s="1">
        <v>7.8490000000000002</v>
      </c>
      <c r="E48" s="1" t="s">
        <v>2482</v>
      </c>
      <c r="F48" s="1" t="s">
        <v>2483</v>
      </c>
      <c r="G48" s="1">
        <v>852.33912999999995</v>
      </c>
      <c r="H48" s="2">
        <v>190182927.60108799</v>
      </c>
      <c r="I48" s="1" t="s">
        <v>23</v>
      </c>
      <c r="J48" s="1">
        <v>852.05942000000005</v>
      </c>
      <c r="K48" s="1">
        <v>853.34644000000003</v>
      </c>
      <c r="L48" s="7">
        <f>G48-J48</f>
        <v>0.27970999999990909</v>
      </c>
      <c r="M48" s="1" t="s">
        <v>2484</v>
      </c>
      <c r="N48" s="2">
        <v>3146344.4696084</v>
      </c>
      <c r="O48" s="1">
        <v>3774427.6204969999</v>
      </c>
      <c r="P48" s="1">
        <v>4043138.26385323</v>
      </c>
      <c r="Q48" s="1">
        <f>STDEV(N48:P48)</f>
        <v>460241.41557794157</v>
      </c>
      <c r="R48" s="1">
        <v>3654636.7846528762</v>
      </c>
      <c r="S48" s="1">
        <v>4.4817461313279893E-3</v>
      </c>
    </row>
    <row r="49" spans="1:19" x14ac:dyDescent="0.3">
      <c r="A49" s="1">
        <v>883</v>
      </c>
      <c r="B49" s="1" t="s">
        <v>3613</v>
      </c>
      <c r="C49" s="1" t="s">
        <v>3614</v>
      </c>
      <c r="D49" s="1">
        <v>14.909000000000001</v>
      </c>
      <c r="E49" s="1" t="s">
        <v>3615</v>
      </c>
      <c r="F49" s="1" t="s">
        <v>3616</v>
      </c>
      <c r="G49" s="1">
        <v>426.99412000000001</v>
      </c>
      <c r="H49" s="2">
        <v>597978176.66977501</v>
      </c>
      <c r="I49" s="1" t="s">
        <v>17</v>
      </c>
      <c r="J49" s="1">
        <v>426.7174</v>
      </c>
      <c r="K49" s="1">
        <v>425.98685</v>
      </c>
      <c r="L49" s="7">
        <f>G49-J49</f>
        <v>0.27672000000001162</v>
      </c>
      <c r="M49" s="1" t="s">
        <v>3617</v>
      </c>
      <c r="N49" s="2">
        <v>661756.34735876205</v>
      </c>
      <c r="O49" s="1">
        <v>1211721.0667679501</v>
      </c>
      <c r="P49" s="1">
        <v>861525.72705060698</v>
      </c>
      <c r="Q49" s="1">
        <f>STDEV(N49:P49)</f>
        <v>278389.94642318913</v>
      </c>
      <c r="R49" s="1">
        <v>911667.71372577304</v>
      </c>
      <c r="S49" s="1">
        <v>1.1179943424761427E-3</v>
      </c>
    </row>
    <row r="50" spans="1:19" x14ac:dyDescent="0.3">
      <c r="A50" s="1">
        <v>241</v>
      </c>
      <c r="B50" s="1" t="s">
        <v>2255</v>
      </c>
      <c r="C50" s="1" t="s">
        <v>2256</v>
      </c>
      <c r="D50" s="1">
        <v>8.1989999999999998</v>
      </c>
      <c r="E50" s="1" t="s">
        <v>2257</v>
      </c>
      <c r="F50" s="1" t="s">
        <v>2258</v>
      </c>
      <c r="G50" s="1">
        <v>405.73948000000001</v>
      </c>
      <c r="H50" s="2">
        <v>243353049.368902</v>
      </c>
      <c r="I50" s="1" t="s">
        <v>456</v>
      </c>
      <c r="J50" s="1">
        <v>405.48464000000001</v>
      </c>
      <c r="K50" s="1">
        <v>834.46783000000005</v>
      </c>
      <c r="L50" s="7">
        <f>G50-J50</f>
        <v>0.25484000000000151</v>
      </c>
      <c r="M50" s="1" t="s">
        <v>24</v>
      </c>
      <c r="N50" s="2">
        <v>4359488.8200062197</v>
      </c>
      <c r="O50" s="1">
        <v>5104617.8542416599</v>
      </c>
      <c r="P50" s="1">
        <v>5847224.0832323497</v>
      </c>
      <c r="Q50" s="1">
        <f>STDEV(N50:P50)</f>
        <v>743867.98811380798</v>
      </c>
      <c r="R50" s="1">
        <v>5103776.9191600764</v>
      </c>
      <c r="S50" s="1">
        <v>6.2588524689135014E-3</v>
      </c>
    </row>
    <row r="51" spans="1:19" x14ac:dyDescent="0.3">
      <c r="A51" s="1">
        <v>618</v>
      </c>
      <c r="B51" s="1" t="s">
        <v>2916</v>
      </c>
      <c r="C51" s="1" t="s">
        <v>2917</v>
      </c>
      <c r="D51" s="1">
        <v>9.7249999999999996</v>
      </c>
      <c r="E51" s="1" t="s">
        <v>2918</v>
      </c>
      <c r="F51" s="1" t="s">
        <v>2919</v>
      </c>
      <c r="G51" s="1">
        <v>450.93462</v>
      </c>
      <c r="H51" s="2">
        <v>8857150.8002616204</v>
      </c>
      <c r="I51" s="1" t="s">
        <v>23</v>
      </c>
      <c r="J51" s="1">
        <v>450.69574</v>
      </c>
      <c r="K51" s="1">
        <v>451.94189</v>
      </c>
      <c r="L51" s="7">
        <f>G51-J51</f>
        <v>0.23887999999999465</v>
      </c>
      <c r="M51" s="1" t="s">
        <v>2920</v>
      </c>
      <c r="N51" s="2">
        <v>1906177.5438117399</v>
      </c>
      <c r="O51" s="1">
        <v>2238041.7228369899</v>
      </c>
      <c r="P51" s="1">
        <v>2213962.9272838202</v>
      </c>
      <c r="Q51" s="1">
        <f>STDEV(N51:P51)</f>
        <v>185042.99680274766</v>
      </c>
      <c r="R51" s="1">
        <v>2119394.0646441835</v>
      </c>
      <c r="S51" s="1">
        <v>2.5990506607569113E-3</v>
      </c>
    </row>
    <row r="52" spans="1:19" x14ac:dyDescent="0.3">
      <c r="A52" s="1">
        <v>211</v>
      </c>
      <c r="B52" s="1" t="s">
        <v>1905</v>
      </c>
      <c r="C52" s="1" t="s">
        <v>1906</v>
      </c>
      <c r="D52" s="1">
        <v>1.4139999999999999</v>
      </c>
      <c r="E52" s="1" t="s">
        <v>1907</v>
      </c>
      <c r="F52" s="1" t="s">
        <v>1908</v>
      </c>
      <c r="G52" s="1">
        <v>343.73878000000002</v>
      </c>
      <c r="H52" s="2">
        <v>10774323.3967623</v>
      </c>
      <c r="I52" s="1" t="s">
        <v>17</v>
      </c>
      <c r="J52" s="1">
        <v>343.50292000000002</v>
      </c>
      <c r="K52" s="1">
        <v>342.73149999999998</v>
      </c>
      <c r="L52" s="7">
        <f>G52-J52</f>
        <v>0.2358600000000024</v>
      </c>
      <c r="M52" s="1" t="s">
        <v>24</v>
      </c>
      <c r="N52" s="2">
        <v>6498033.6056644302</v>
      </c>
      <c r="O52" s="1">
        <v>10774323.3967623</v>
      </c>
      <c r="P52" s="1">
        <v>7636604.0866716197</v>
      </c>
      <c r="Q52" s="1">
        <f>STDEV(N52:P52)</f>
        <v>2214658.724144828</v>
      </c>
      <c r="R52" s="1">
        <v>8302987.0296994494</v>
      </c>
      <c r="S52" s="1">
        <v>1.0182100764455703E-2</v>
      </c>
    </row>
    <row r="53" spans="1:19" x14ac:dyDescent="0.3">
      <c r="A53" s="1">
        <v>1017</v>
      </c>
      <c r="B53" s="1" t="s">
        <v>4226</v>
      </c>
      <c r="C53" s="1" t="s">
        <v>4227</v>
      </c>
      <c r="D53" s="1">
        <v>8.3919999999999995</v>
      </c>
      <c r="E53" s="1"/>
      <c r="F53" s="1" t="s">
        <v>4228</v>
      </c>
      <c r="G53" s="1">
        <v>247.89091999999999</v>
      </c>
      <c r="H53" s="2">
        <v>664333.48358227999</v>
      </c>
      <c r="I53" s="1" t="s">
        <v>17</v>
      </c>
      <c r="J53" s="1">
        <v>247.68029999999999</v>
      </c>
      <c r="K53" s="1">
        <v>246.88364000000001</v>
      </c>
      <c r="L53" s="7">
        <f>G53-J53</f>
        <v>0.2106200000000058</v>
      </c>
      <c r="M53" s="1" t="s">
        <v>24</v>
      </c>
      <c r="N53" s="2">
        <v>273692.05902760703</v>
      </c>
      <c r="O53" s="1">
        <v>664333.48358227999</v>
      </c>
      <c r="P53" s="1">
        <v>238327.85028537799</v>
      </c>
      <c r="Q53" s="1">
        <f>STDEV(N53:P53)</f>
        <v>236407.89236640796</v>
      </c>
      <c r="R53" s="1">
        <v>392117.79763175501</v>
      </c>
      <c r="S53" s="1">
        <v>4.8086103383537403E-4</v>
      </c>
    </row>
    <row r="54" spans="1:19" x14ac:dyDescent="0.3">
      <c r="A54" s="1">
        <v>240</v>
      </c>
      <c r="B54" s="1" t="s">
        <v>2307</v>
      </c>
      <c r="C54" s="1" t="s">
        <v>2308</v>
      </c>
      <c r="D54" s="1">
        <v>6.6219999999999999</v>
      </c>
      <c r="E54" s="1" t="s">
        <v>2309</v>
      </c>
      <c r="F54" s="1" t="s">
        <v>2310</v>
      </c>
      <c r="G54" s="1">
        <v>375.70711999999997</v>
      </c>
      <c r="H54" s="2">
        <v>15129906.4353384</v>
      </c>
      <c r="I54" s="1" t="s">
        <v>23</v>
      </c>
      <c r="J54" s="1">
        <v>375.50171999999998</v>
      </c>
      <c r="K54" s="1">
        <v>376.71431999999999</v>
      </c>
      <c r="L54" s="7">
        <f>G54-J54</f>
        <v>0.20539999999999736</v>
      </c>
      <c r="M54" s="1" t="s">
        <v>24</v>
      </c>
      <c r="N54" s="2">
        <v>6163283.0661683502</v>
      </c>
      <c r="O54" s="1">
        <v>1242560.0438806801</v>
      </c>
      <c r="P54" s="1">
        <v>6945831.6341549801</v>
      </c>
      <c r="Q54" s="1">
        <f>STDEV(N54:P54)</f>
        <v>3091741.8002306237</v>
      </c>
      <c r="R54" s="1">
        <v>4783891.5814013369</v>
      </c>
      <c r="S54" s="1">
        <v>5.8665713861560682E-3</v>
      </c>
    </row>
    <row r="55" spans="1:19" x14ac:dyDescent="0.3">
      <c r="A55" s="1">
        <v>913</v>
      </c>
      <c r="B55" s="1" t="s">
        <v>4594</v>
      </c>
      <c r="C55" s="1" t="s">
        <v>4595</v>
      </c>
      <c r="D55" s="1">
        <v>3.7519999999999998</v>
      </c>
      <c r="E55" s="1" t="s">
        <v>4596</v>
      </c>
      <c r="F55" s="1" t="s">
        <v>4597</v>
      </c>
      <c r="G55" s="1">
        <v>412.88758999999999</v>
      </c>
      <c r="H55" s="2">
        <v>327008.46831280401</v>
      </c>
      <c r="I55" s="1" t="s">
        <v>17</v>
      </c>
      <c r="J55" s="1">
        <v>412.69081999999997</v>
      </c>
      <c r="K55" s="1">
        <v>411.88031000000001</v>
      </c>
      <c r="L55" s="7">
        <f>G55-J55</f>
        <v>0.19677000000001499</v>
      </c>
      <c r="M55" s="1" t="s">
        <v>4598</v>
      </c>
      <c r="N55" s="2">
        <v>64576.812195155799</v>
      </c>
      <c r="O55" s="1">
        <v>93140.362895351805</v>
      </c>
      <c r="P55" s="1">
        <v>101110.467595864</v>
      </c>
      <c r="Q55" s="1">
        <f>STDEV(N55:P55)</f>
        <v>19209.836779097895</v>
      </c>
      <c r="R55" s="1">
        <v>86275.880895457201</v>
      </c>
      <c r="S55" s="1">
        <v>1.0580164821135732E-4</v>
      </c>
    </row>
    <row r="56" spans="1:19" x14ac:dyDescent="0.3">
      <c r="A56" s="1">
        <v>808</v>
      </c>
      <c r="B56" s="1" t="s">
        <v>3145</v>
      </c>
      <c r="C56" s="1" t="s">
        <v>3146</v>
      </c>
      <c r="D56" s="1">
        <v>2.7829999999999999</v>
      </c>
      <c r="E56" s="1" t="s">
        <v>3147</v>
      </c>
      <c r="F56" s="1" t="s">
        <v>3148</v>
      </c>
      <c r="G56" s="1">
        <v>412.88691999999998</v>
      </c>
      <c r="H56" s="2">
        <v>9272164.3255331498</v>
      </c>
      <c r="I56" s="1" t="s">
        <v>17</v>
      </c>
      <c r="J56" s="1">
        <v>412.69081999999997</v>
      </c>
      <c r="K56" s="1">
        <v>411.87963999999999</v>
      </c>
      <c r="L56" s="7">
        <f>G56-J56</f>
        <v>0.19610000000000127</v>
      </c>
      <c r="M56" s="1" t="s">
        <v>3149</v>
      </c>
      <c r="N56" s="2">
        <v>1294288.8948090801</v>
      </c>
      <c r="O56" s="1">
        <v>1794086.1568434499</v>
      </c>
      <c r="P56" s="1">
        <v>1836067.67874327</v>
      </c>
      <c r="Q56" s="1">
        <f>STDEV(N56:P56)</f>
        <v>301408.91438909597</v>
      </c>
      <c r="R56" s="1">
        <v>1641480.9101319334</v>
      </c>
      <c r="S56" s="1">
        <v>2.0129772538617107E-3</v>
      </c>
    </row>
    <row r="57" spans="1:19" x14ac:dyDescent="0.3">
      <c r="A57" s="1">
        <v>157</v>
      </c>
      <c r="B57" s="1" t="s">
        <v>2912</v>
      </c>
      <c r="C57" s="1" t="s">
        <v>2913</v>
      </c>
      <c r="D57" s="1">
        <v>14.231</v>
      </c>
      <c r="E57" s="1" t="s">
        <v>2914</v>
      </c>
      <c r="F57" s="1" t="s">
        <v>2915</v>
      </c>
      <c r="G57" s="1">
        <v>545.86450000000002</v>
      </c>
      <c r="H57" s="2">
        <v>29434644.919278301</v>
      </c>
      <c r="I57" s="1" t="s">
        <v>23</v>
      </c>
      <c r="J57" s="1">
        <v>545.67246</v>
      </c>
      <c r="K57" s="1">
        <v>546.87176999999997</v>
      </c>
      <c r="L57" s="7">
        <f>G57-J57</f>
        <v>0.19204000000001997</v>
      </c>
      <c r="M57" s="1" t="s">
        <v>24</v>
      </c>
      <c r="N57" s="2">
        <v>1161782.7990923401</v>
      </c>
      <c r="O57" s="1">
        <v>3549012.3235127698</v>
      </c>
      <c r="P57" s="1">
        <v>1663899.4427785501</v>
      </c>
      <c r="Q57" s="1">
        <f>STDEV(N57:P57)</f>
        <v>1258612.7614190532</v>
      </c>
      <c r="R57" s="1">
        <v>2124898.1884612199</v>
      </c>
      <c r="S57" s="1">
        <v>2.605800465751745E-3</v>
      </c>
    </row>
    <row r="58" spans="1:19" x14ac:dyDescent="0.3">
      <c r="A58" s="1">
        <v>254</v>
      </c>
      <c r="B58" s="1" t="s">
        <v>2435</v>
      </c>
      <c r="C58" s="1" t="s">
        <v>2436</v>
      </c>
      <c r="D58" s="1">
        <v>1.466</v>
      </c>
      <c r="E58" s="1" t="s">
        <v>2437</v>
      </c>
      <c r="F58" s="1" t="s">
        <v>2438</v>
      </c>
      <c r="G58" s="1">
        <v>385.72397000000001</v>
      </c>
      <c r="H58" s="2">
        <v>26522544.428260501</v>
      </c>
      <c r="I58" s="1" t="s">
        <v>17</v>
      </c>
      <c r="J58" s="1">
        <v>385.53960000000001</v>
      </c>
      <c r="K58" s="1">
        <v>384.71669000000003</v>
      </c>
      <c r="L58" s="7">
        <f>G58-J58</f>
        <v>0.18437000000000126</v>
      </c>
      <c r="M58" s="1" t="s">
        <v>24</v>
      </c>
      <c r="N58" s="2">
        <v>5942390.0914334897</v>
      </c>
      <c r="O58" s="1">
        <v>2960313.4751405101</v>
      </c>
      <c r="P58" s="1">
        <v>3044621.1635763198</v>
      </c>
      <c r="Q58" s="1">
        <f>STDEV(N58:P58)</f>
        <v>1697888.565789154</v>
      </c>
      <c r="R58" s="1">
        <v>3982441.5767167732</v>
      </c>
      <c r="S58" s="1">
        <v>4.8837389818439641E-3</v>
      </c>
    </row>
    <row r="59" spans="1:19" x14ac:dyDescent="0.3">
      <c r="A59" s="1">
        <v>575</v>
      </c>
      <c r="B59" s="1" t="s">
        <v>4344</v>
      </c>
      <c r="C59" s="1" t="s">
        <v>4345</v>
      </c>
      <c r="D59" s="1">
        <v>4.38</v>
      </c>
      <c r="E59" s="1" t="s">
        <v>4346</v>
      </c>
      <c r="F59" s="1" t="s">
        <v>4347</v>
      </c>
      <c r="G59" s="1">
        <v>304.85705000000002</v>
      </c>
      <c r="H59" s="2">
        <v>1341279.18200969</v>
      </c>
      <c r="I59" s="1" t="s">
        <v>17</v>
      </c>
      <c r="J59" s="1">
        <v>304.68196</v>
      </c>
      <c r="K59" s="1">
        <v>303.84976999999998</v>
      </c>
      <c r="L59" s="7">
        <f>G59-J59</f>
        <v>0.17509000000001151</v>
      </c>
      <c r="M59" s="1" t="s">
        <v>4348</v>
      </c>
      <c r="N59" s="2">
        <v>230063.54514046799</v>
      </c>
      <c r="O59" s="1">
        <v>301425.08768309699</v>
      </c>
      <c r="P59" s="1">
        <v>306367.67851113097</v>
      </c>
      <c r="Q59" s="1">
        <f>STDEV(N59:P59)</f>
        <v>42698.984624158191</v>
      </c>
      <c r="R59" s="1">
        <v>279285.43711156532</v>
      </c>
      <c r="S59" s="1">
        <v>3.4249270202918171E-4</v>
      </c>
    </row>
    <row r="60" spans="1:19" x14ac:dyDescent="0.3">
      <c r="A60" s="1">
        <v>104</v>
      </c>
      <c r="B60" s="1" t="s">
        <v>3583</v>
      </c>
      <c r="C60" s="1" t="s">
        <v>3584</v>
      </c>
      <c r="D60" s="1">
        <v>23.042999999999999</v>
      </c>
      <c r="E60" s="1" t="s">
        <v>3585</v>
      </c>
      <c r="F60" s="1" t="s">
        <v>3586</v>
      </c>
      <c r="G60" s="1">
        <v>518.84583999999995</v>
      </c>
      <c r="H60" s="2">
        <v>1519462.94933443</v>
      </c>
      <c r="I60" s="1" t="s">
        <v>17</v>
      </c>
      <c r="J60" s="1">
        <v>518.69502</v>
      </c>
      <c r="K60" s="1">
        <v>517.83856000000003</v>
      </c>
      <c r="L60" s="7">
        <f>G60-J60</f>
        <v>0.15081999999995332</v>
      </c>
      <c r="M60" s="1" t="s">
        <v>24</v>
      </c>
      <c r="N60" s="2">
        <v>883383.853248153</v>
      </c>
      <c r="O60" s="1">
        <v>952099.38461700606</v>
      </c>
      <c r="P60" s="1">
        <v>957604.87956588005</v>
      </c>
      <c r="Q60" s="1">
        <f>STDEV(N60:P60)</f>
        <v>41353.950785853252</v>
      </c>
      <c r="R60" s="1">
        <v>931029.37247701304</v>
      </c>
      <c r="S60" s="1">
        <v>1.1417378891861352E-3</v>
      </c>
    </row>
    <row r="61" spans="1:19" x14ac:dyDescent="0.3">
      <c r="A61" s="1">
        <v>228</v>
      </c>
      <c r="B61" s="1" t="s">
        <v>3804</v>
      </c>
      <c r="C61" s="1" t="s">
        <v>3805</v>
      </c>
      <c r="D61" s="1">
        <v>0.26200000000000001</v>
      </c>
      <c r="E61" s="1" t="s">
        <v>3806</v>
      </c>
      <c r="F61" s="1" t="s">
        <v>3807</v>
      </c>
      <c r="G61" s="1">
        <v>599.85694999999998</v>
      </c>
      <c r="H61" s="2">
        <v>11165403.733411601</v>
      </c>
      <c r="I61" s="1" t="s">
        <v>17</v>
      </c>
      <c r="J61" s="1">
        <v>599.71169999999995</v>
      </c>
      <c r="K61" s="1">
        <v>598.84966999999995</v>
      </c>
      <c r="L61" s="7">
        <f>G61-J61</f>
        <v>0.14525000000003274</v>
      </c>
      <c r="M61" s="1" t="s">
        <v>3808</v>
      </c>
      <c r="N61" s="2">
        <v>1255603.6584075601</v>
      </c>
      <c r="O61" s="1">
        <v>453073.96815714001</v>
      </c>
      <c r="P61" s="1">
        <v>544227.06408654805</v>
      </c>
      <c r="Q61" s="1">
        <f>STDEV(N61:P61)</f>
        <v>439397.21012213855</v>
      </c>
      <c r="R61" s="1">
        <v>750968.23021708278</v>
      </c>
      <c r="S61" s="1">
        <v>9.2092570584830706E-4</v>
      </c>
    </row>
    <row r="62" spans="1:19" x14ac:dyDescent="0.3">
      <c r="A62" s="1">
        <v>879</v>
      </c>
      <c r="B62" s="1" t="s">
        <v>4540</v>
      </c>
      <c r="C62" s="1" t="s">
        <v>4541</v>
      </c>
      <c r="D62" s="1">
        <v>10.786</v>
      </c>
      <c r="E62" s="1" t="s">
        <v>4542</v>
      </c>
      <c r="F62" s="1" t="s">
        <v>4543</v>
      </c>
      <c r="G62" s="1">
        <v>604.95452999999998</v>
      </c>
      <c r="H62" s="2">
        <v>1583890.5414424499</v>
      </c>
      <c r="I62" s="1" t="s">
        <v>1154</v>
      </c>
      <c r="J62" s="1">
        <v>604.81434000000002</v>
      </c>
      <c r="K62" s="1">
        <v>646.98883000000001</v>
      </c>
      <c r="L62" s="7">
        <f>G62-J62</f>
        <v>0.1401899999999614</v>
      </c>
      <c r="M62" s="1" t="s">
        <v>24</v>
      </c>
      <c r="N62" s="2">
        <v>110170.946268197</v>
      </c>
      <c r="O62" s="1">
        <v>116647.54888829</v>
      </c>
      <c r="P62" s="1">
        <v>131321.490600224</v>
      </c>
      <c r="Q62" s="1">
        <f>STDEV(N62:P62)</f>
        <v>10836.792825100296</v>
      </c>
      <c r="R62" s="1">
        <v>119379.995252237</v>
      </c>
      <c r="S62" s="1">
        <v>1.4639781280767825E-4</v>
      </c>
    </row>
    <row r="63" spans="1:19" x14ac:dyDescent="0.3">
      <c r="A63" s="1">
        <v>262</v>
      </c>
      <c r="B63" s="1" t="s">
        <v>4510</v>
      </c>
      <c r="C63" s="1" t="s">
        <v>4511</v>
      </c>
      <c r="D63" s="1">
        <v>5.9480000000000004</v>
      </c>
      <c r="E63" s="1" t="s">
        <v>4512</v>
      </c>
      <c r="F63" s="1" t="s">
        <v>4513</v>
      </c>
      <c r="G63" s="1">
        <v>353.58751000000001</v>
      </c>
      <c r="H63" s="2">
        <v>336329.78093025502</v>
      </c>
      <c r="I63" s="1" t="s">
        <v>17</v>
      </c>
      <c r="J63" s="1">
        <v>353.45468</v>
      </c>
      <c r="K63" s="1">
        <v>352.58022999999997</v>
      </c>
      <c r="L63" s="7">
        <f>G63-J63</f>
        <v>0.13283000000001266</v>
      </c>
      <c r="M63" s="1" t="s">
        <v>24</v>
      </c>
      <c r="N63" s="2">
        <v>83121.732187776201</v>
      </c>
      <c r="O63" s="1">
        <v>310985.12512362102</v>
      </c>
      <c r="P63" s="1">
        <v>109009.82294089301</v>
      </c>
      <c r="Q63" s="1">
        <f>STDEV(N63:P63)</f>
        <v>124757.0584341698</v>
      </c>
      <c r="R63" s="1">
        <v>167705.56008409674</v>
      </c>
      <c r="S63" s="1">
        <v>2.0566031302081471E-4</v>
      </c>
    </row>
    <row r="64" spans="1:19" x14ac:dyDescent="0.3">
      <c r="A64" s="1">
        <v>831</v>
      </c>
      <c r="B64" s="1" t="s">
        <v>4484</v>
      </c>
      <c r="C64" s="1" t="s">
        <v>4485</v>
      </c>
      <c r="D64" s="1">
        <v>6.6950000000000003</v>
      </c>
      <c r="E64" s="1" t="s">
        <v>4486</v>
      </c>
      <c r="F64" s="1" t="s">
        <v>4487</v>
      </c>
      <c r="G64" s="1">
        <v>430.72426000000002</v>
      </c>
      <c r="H64" s="2">
        <v>15295888.6814912</v>
      </c>
      <c r="I64" s="1" t="s">
        <v>23</v>
      </c>
      <c r="J64" s="1">
        <v>430.61998</v>
      </c>
      <c r="K64" s="1">
        <v>431.73172</v>
      </c>
      <c r="L64" s="7">
        <f>G64-J64</f>
        <v>0.10428000000001703</v>
      </c>
      <c r="M64" s="1" t="s">
        <v>24</v>
      </c>
      <c r="N64" s="2">
        <v>144245.68191339</v>
      </c>
      <c r="O64" s="1">
        <v>194015.058745296</v>
      </c>
      <c r="P64" s="1">
        <v>232808.08719631401</v>
      </c>
      <c r="Q64" s="1">
        <f>STDEV(N64:P64)</f>
        <v>44394.42449252426</v>
      </c>
      <c r="R64" s="1">
        <v>190356.27595166667</v>
      </c>
      <c r="S64" s="1">
        <v>2.3343728900857566E-4</v>
      </c>
    </row>
    <row r="65" spans="1:19" x14ac:dyDescent="0.3">
      <c r="A65" s="1">
        <v>813</v>
      </c>
      <c r="B65" s="1" t="s">
        <v>3691</v>
      </c>
      <c r="C65" s="1" t="s">
        <v>3692</v>
      </c>
      <c r="D65" s="1">
        <v>10.382</v>
      </c>
      <c r="E65" s="1" t="s">
        <v>3693</v>
      </c>
      <c r="F65" s="1" t="s">
        <v>3694</v>
      </c>
      <c r="G65" s="1">
        <v>578.83203000000003</v>
      </c>
      <c r="H65" s="2">
        <v>11103237.2605277</v>
      </c>
      <c r="I65" s="1" t="s">
        <v>23</v>
      </c>
      <c r="J65" s="1">
        <v>578.77706000000001</v>
      </c>
      <c r="K65" s="1">
        <v>579.83930999999995</v>
      </c>
      <c r="L65" s="7">
        <f>G65-J65</f>
        <v>5.4970000000025721E-2</v>
      </c>
      <c r="M65" s="1" t="s">
        <v>24</v>
      </c>
      <c r="N65" s="2">
        <v>384795.99485336803</v>
      </c>
      <c r="O65" s="1">
        <v>1747327.13177986</v>
      </c>
      <c r="P65" s="1">
        <v>447874.137796394</v>
      </c>
      <c r="Q65" s="1">
        <f>STDEV(N65:P65)</f>
        <v>769095.57650354644</v>
      </c>
      <c r="R65" s="1">
        <v>859999.08814320725</v>
      </c>
      <c r="S65" s="1">
        <v>1.0546321873672886E-3</v>
      </c>
    </row>
    <row r="66" spans="1:19" x14ac:dyDescent="0.3">
      <c r="A66" s="1">
        <v>212</v>
      </c>
      <c r="B66" s="1" t="s">
        <v>4214</v>
      </c>
      <c r="C66" s="1" t="s">
        <v>4215</v>
      </c>
      <c r="D66" s="1">
        <v>1.4079999999999999</v>
      </c>
      <c r="E66" s="1" t="s">
        <v>4216</v>
      </c>
      <c r="F66" s="1" t="s">
        <v>4217</v>
      </c>
      <c r="G66" s="1">
        <v>685.85640000000001</v>
      </c>
      <c r="H66" s="2">
        <v>3726366.59270069</v>
      </c>
      <c r="I66" s="1" t="s">
        <v>17</v>
      </c>
      <c r="J66" s="1">
        <v>685.80424000000005</v>
      </c>
      <c r="K66" s="1">
        <v>684.84911999999997</v>
      </c>
      <c r="L66" s="7">
        <f>G66-J66</f>
        <v>5.2159999999958018E-2</v>
      </c>
      <c r="M66" s="1" t="s">
        <v>24</v>
      </c>
      <c r="N66" s="2">
        <v>365446.289521506</v>
      </c>
      <c r="O66" s="1">
        <v>421991.623454293</v>
      </c>
      <c r="P66" s="1">
        <v>428474.02652033302</v>
      </c>
      <c r="Q66" s="1">
        <f>STDEV(N66:P66)</f>
        <v>34669.611982912611</v>
      </c>
      <c r="R66" s="1">
        <v>405303.97983204405</v>
      </c>
      <c r="S66" s="1">
        <v>4.9703148374473339E-4</v>
      </c>
    </row>
    <row r="67" spans="1:19" x14ac:dyDescent="0.3">
      <c r="A67" s="1">
        <v>949</v>
      </c>
      <c r="B67" s="1" t="s">
        <v>2816</v>
      </c>
      <c r="C67" s="1" t="s">
        <v>2817</v>
      </c>
      <c r="D67" s="1">
        <v>14.249000000000001</v>
      </c>
      <c r="E67" s="1" t="s">
        <v>2818</v>
      </c>
      <c r="F67" s="1" t="s">
        <v>2819</v>
      </c>
      <c r="G67" s="1">
        <v>418.74185</v>
      </c>
      <c r="H67" s="2">
        <v>7984744.1719776699</v>
      </c>
      <c r="I67" s="1" t="s">
        <v>23</v>
      </c>
      <c r="J67" s="1">
        <v>418.69540000000001</v>
      </c>
      <c r="K67" s="1">
        <v>419.74912999999998</v>
      </c>
      <c r="L67" s="7">
        <f>G67-J67</f>
        <v>4.6449999999992997E-2</v>
      </c>
      <c r="M67" s="1" t="s">
        <v>24</v>
      </c>
      <c r="N67" s="2">
        <v>3134095.7566040698</v>
      </c>
      <c r="O67" s="1">
        <v>2204361.8057441502</v>
      </c>
      <c r="P67" s="1">
        <v>1833125.13701557</v>
      </c>
      <c r="Q67" s="1">
        <f>STDEV(N67:P67)</f>
        <v>670167.44631755573</v>
      </c>
      <c r="R67" s="1">
        <v>2390527.5664545968</v>
      </c>
      <c r="S67" s="1">
        <v>2.9315464994446533E-3</v>
      </c>
    </row>
    <row r="68" spans="1:19" x14ac:dyDescent="0.3">
      <c r="A68" s="1">
        <v>707</v>
      </c>
      <c r="B68" s="1" t="s">
        <v>3734</v>
      </c>
      <c r="C68" s="1" t="s">
        <v>3735</v>
      </c>
      <c r="D68" s="1">
        <v>13.285</v>
      </c>
      <c r="E68" s="1" t="s">
        <v>3736</v>
      </c>
      <c r="F68" s="1" t="s">
        <v>3737</v>
      </c>
      <c r="G68" s="1">
        <v>784.58082000000002</v>
      </c>
      <c r="H68" s="2">
        <v>920609973.833956</v>
      </c>
      <c r="I68" s="1" t="s">
        <v>17</v>
      </c>
      <c r="J68" s="1">
        <v>784.54115999999999</v>
      </c>
      <c r="K68" s="1">
        <v>783.57354999999995</v>
      </c>
      <c r="L68" s="7">
        <f>G68-J68</f>
        <v>3.966000000002623E-2</v>
      </c>
      <c r="M68" s="1" t="s">
        <v>3738</v>
      </c>
      <c r="N68" s="2">
        <v>727787.84618480306</v>
      </c>
      <c r="O68" s="1">
        <v>1031862.66666029</v>
      </c>
      <c r="P68" s="1">
        <v>697255.66207326006</v>
      </c>
      <c r="Q68" s="1">
        <f>STDEV(N68:P68)</f>
        <v>185002.50369140285</v>
      </c>
      <c r="R68" s="1">
        <v>818968.7249727844</v>
      </c>
      <c r="S68" s="1">
        <v>1.004315922785748E-3</v>
      </c>
    </row>
    <row r="69" spans="1:19" x14ac:dyDescent="0.3">
      <c r="A69" s="1">
        <v>680</v>
      </c>
      <c r="B69" s="1" t="s">
        <v>3163</v>
      </c>
      <c r="C69" s="1" t="s">
        <v>3164</v>
      </c>
      <c r="D69" s="1">
        <v>16.071000000000002</v>
      </c>
      <c r="E69" s="1" t="s">
        <v>3165</v>
      </c>
      <c r="F69" s="1" t="s">
        <v>3166</v>
      </c>
      <c r="G69" s="1">
        <v>462.43711999999999</v>
      </c>
      <c r="H69" s="2">
        <v>74466716.573287204</v>
      </c>
      <c r="I69" s="1" t="s">
        <v>23</v>
      </c>
      <c r="J69" s="1">
        <v>462.40348</v>
      </c>
      <c r="K69" s="1">
        <v>463.44439999999997</v>
      </c>
      <c r="L69" s="7">
        <f>G69-J69</f>
        <v>3.3639999999991232E-2</v>
      </c>
      <c r="M69" s="1" t="s">
        <v>3108</v>
      </c>
      <c r="N69" s="2">
        <v>1411360.41610809</v>
      </c>
      <c r="O69" s="1">
        <v>1799187.2088359301</v>
      </c>
      <c r="P69" s="1">
        <v>1661447.13502619</v>
      </c>
      <c r="Q69" s="1">
        <f>STDEV(N69:P69)</f>
        <v>196606.76322289309</v>
      </c>
      <c r="R69" s="1">
        <v>1623998.2533234034</v>
      </c>
      <c r="S69" s="1">
        <v>1.9915379606750402E-3</v>
      </c>
    </row>
    <row r="70" spans="1:19" x14ac:dyDescent="0.3">
      <c r="A70" s="1">
        <v>709</v>
      </c>
      <c r="B70" s="1" t="s">
        <v>394</v>
      </c>
      <c r="C70" s="1" t="s">
        <v>395</v>
      </c>
      <c r="D70" s="1">
        <v>13.089</v>
      </c>
      <c r="E70" s="1" t="s">
        <v>396</v>
      </c>
      <c r="F70" s="1" t="s">
        <v>397</v>
      </c>
      <c r="G70" s="1">
        <v>602.39813000000004</v>
      </c>
      <c r="H70" s="2">
        <v>301207772.58763099</v>
      </c>
      <c r="I70" s="1" t="s">
        <v>398</v>
      </c>
      <c r="J70" s="1">
        <v>602.36940000000004</v>
      </c>
      <c r="K70" s="1">
        <v>620.43187999999998</v>
      </c>
      <c r="L70" s="7">
        <f>G70-J70</f>
        <v>2.8729999999995925E-2</v>
      </c>
      <c r="M70" s="1" t="s">
        <v>399</v>
      </c>
      <c r="N70" s="2">
        <v>173963199.56764799</v>
      </c>
      <c r="O70" s="1">
        <v>115793919.62227701</v>
      </c>
      <c r="P70" s="1">
        <v>110399669.815787</v>
      </c>
      <c r="Q70" s="1">
        <f>STDEV(N70:P70)</f>
        <v>35244586.758946516</v>
      </c>
      <c r="R70" s="1">
        <v>133385596.33523734</v>
      </c>
      <c r="S70" s="1">
        <v>0.16357313067626963</v>
      </c>
    </row>
    <row r="71" spans="1:19" x14ac:dyDescent="0.3">
      <c r="A71" s="1">
        <v>724</v>
      </c>
      <c r="B71" s="1" t="s">
        <v>4463</v>
      </c>
      <c r="C71" s="1" t="s">
        <v>4464</v>
      </c>
      <c r="D71" s="1">
        <v>10.428000000000001</v>
      </c>
      <c r="E71" s="1" t="s">
        <v>4465</v>
      </c>
      <c r="F71" s="1" t="s">
        <v>4466</v>
      </c>
      <c r="G71" s="1">
        <v>628.69322</v>
      </c>
      <c r="H71" s="2">
        <v>2914685.29697775</v>
      </c>
      <c r="I71" s="1" t="s">
        <v>23</v>
      </c>
      <c r="J71" s="1">
        <v>628.66503999999998</v>
      </c>
      <c r="K71" s="1">
        <v>629.70050000000003</v>
      </c>
      <c r="L71" s="7">
        <f>G71-J71</f>
        <v>2.81800000000203E-2</v>
      </c>
      <c r="M71" s="1" t="s">
        <v>24</v>
      </c>
      <c r="N71" s="2">
        <v>207270.59042936799</v>
      </c>
      <c r="O71" s="1">
        <v>210246.469325599</v>
      </c>
      <c r="P71" s="1">
        <v>226632.81869505899</v>
      </c>
      <c r="Q71" s="1">
        <f>STDEV(N71:P71)</f>
        <v>10426.442220589583</v>
      </c>
      <c r="R71" s="1">
        <v>214716.62615000867</v>
      </c>
      <c r="S71" s="1">
        <v>2.6331082000286959E-4</v>
      </c>
    </row>
    <row r="72" spans="1:19" x14ac:dyDescent="0.3">
      <c r="A72" s="1">
        <v>839</v>
      </c>
      <c r="B72" s="1" t="s">
        <v>4445</v>
      </c>
      <c r="C72" s="1" t="s">
        <v>4446</v>
      </c>
      <c r="D72" s="1">
        <v>0.434</v>
      </c>
      <c r="E72" s="1" t="s">
        <v>4447</v>
      </c>
      <c r="F72" s="1" t="s">
        <v>4448</v>
      </c>
      <c r="G72" s="1">
        <v>596.86225999999999</v>
      </c>
      <c r="H72" s="2">
        <v>1632942.92804461</v>
      </c>
      <c r="I72" s="1" t="s">
        <v>17</v>
      </c>
      <c r="J72" s="1">
        <v>596.83848</v>
      </c>
      <c r="K72" s="1">
        <v>595.85497999999995</v>
      </c>
      <c r="L72" s="7">
        <f>G72-J72</f>
        <v>2.3779999999987922E-2</v>
      </c>
      <c r="M72" s="1" t="s">
        <v>4449</v>
      </c>
      <c r="N72" s="2">
        <v>285700.87285715202</v>
      </c>
      <c r="O72" s="1">
        <v>171929.419934423</v>
      </c>
      <c r="P72" s="1">
        <v>206519.57520667301</v>
      </c>
      <c r="Q72" s="1">
        <f>STDEV(N72:P72)</f>
        <v>58323.951968753747</v>
      </c>
      <c r="R72" s="1">
        <v>221383.28933274932</v>
      </c>
      <c r="S72" s="1">
        <v>2.7148626771181407E-4</v>
      </c>
    </row>
    <row r="73" spans="1:19" x14ac:dyDescent="0.3">
      <c r="A73" s="1">
        <v>904</v>
      </c>
      <c r="B73" s="1" t="s">
        <v>2926</v>
      </c>
      <c r="C73" s="1" t="s">
        <v>2927</v>
      </c>
      <c r="D73" s="1">
        <v>7.7850000000000001</v>
      </c>
      <c r="E73" s="1" t="s">
        <v>2928</v>
      </c>
      <c r="F73" s="1" t="s">
        <v>2929</v>
      </c>
      <c r="G73" s="1">
        <v>170.12853999999999</v>
      </c>
      <c r="H73" s="2">
        <v>7327621.1648221305</v>
      </c>
      <c r="I73" s="1" t="s">
        <v>17</v>
      </c>
      <c r="J73" s="1">
        <v>170.11954</v>
      </c>
      <c r="K73" s="1">
        <v>169.12128000000001</v>
      </c>
      <c r="L73" s="7">
        <f>G73-J73</f>
        <v>8.9999999999861302E-3</v>
      </c>
      <c r="M73" s="1" t="s">
        <v>2930</v>
      </c>
      <c r="N73" s="2">
        <v>1451227.8982101299</v>
      </c>
      <c r="O73" s="1">
        <v>2978443.34911614</v>
      </c>
      <c r="P73" s="1">
        <v>1894577.5695334901</v>
      </c>
      <c r="Q73" s="1">
        <f>STDEV(N73:P73)</f>
        <v>785674.97443269345</v>
      </c>
      <c r="R73" s="1">
        <v>2108082.938953253</v>
      </c>
      <c r="S73" s="1">
        <v>2.585179626015737E-3</v>
      </c>
    </row>
    <row r="74" spans="1:19" x14ac:dyDescent="0.3">
      <c r="A74" s="1">
        <v>439</v>
      </c>
      <c r="B74" s="1" t="s">
        <v>1987</v>
      </c>
      <c r="C74" s="1" t="s">
        <v>1988</v>
      </c>
      <c r="D74" s="1">
        <v>15.85</v>
      </c>
      <c r="E74" s="1" t="s">
        <v>1989</v>
      </c>
      <c r="F74" s="1" t="s">
        <v>1990</v>
      </c>
      <c r="G74" s="1">
        <v>337.33190000000002</v>
      </c>
      <c r="H74" s="2">
        <v>12851748.230668601</v>
      </c>
      <c r="I74" s="1" t="s">
        <v>23</v>
      </c>
      <c r="J74" s="1">
        <v>337.3261</v>
      </c>
      <c r="K74" s="1">
        <v>338.33917000000002</v>
      </c>
      <c r="L74" s="7">
        <f>G74-J74</f>
        <v>5.8000000000220098E-3</v>
      </c>
      <c r="M74" s="1" t="s">
        <v>24</v>
      </c>
      <c r="N74" s="2">
        <v>5492893.8342445204</v>
      </c>
      <c r="O74" s="1">
        <v>11214536.739907101</v>
      </c>
      <c r="P74" s="1">
        <v>5534373.8204719797</v>
      </c>
      <c r="Q74" s="1">
        <f>STDEV(N74:P74)</f>
        <v>3291483.1743076495</v>
      </c>
      <c r="R74" s="1">
        <v>7413934.798207867</v>
      </c>
      <c r="S74" s="1">
        <v>9.0918401903356469E-3</v>
      </c>
    </row>
    <row r="75" spans="1:19" x14ac:dyDescent="0.3">
      <c r="A75" s="1">
        <v>447</v>
      </c>
      <c r="B75" s="1" t="s">
        <v>205</v>
      </c>
      <c r="C75" s="1" t="s">
        <v>206</v>
      </c>
      <c r="D75" s="1">
        <v>11.301</v>
      </c>
      <c r="E75" s="1" t="s">
        <v>207</v>
      </c>
      <c r="F75" s="1" t="s">
        <v>208</v>
      </c>
      <c r="G75" s="1">
        <v>320.24799999999999</v>
      </c>
      <c r="H75" s="2">
        <v>462039890.74600202</v>
      </c>
      <c r="I75" s="1" t="s">
        <v>23</v>
      </c>
      <c r="J75" s="1">
        <v>320.25098000000003</v>
      </c>
      <c r="K75" s="1">
        <v>321.25528000000003</v>
      </c>
      <c r="L75" s="7">
        <f>G75-J75</f>
        <v>-2.980000000036398E-3</v>
      </c>
      <c r="M75" s="1" t="s">
        <v>209</v>
      </c>
      <c r="N75" s="2">
        <v>462039890.74600202</v>
      </c>
      <c r="O75" s="1">
        <v>358977773.48854101</v>
      </c>
      <c r="P75" s="1">
        <v>131525096.06875101</v>
      </c>
      <c r="Q75" s="1">
        <f>STDEV(N75:P75)</f>
        <v>169113645.21112579</v>
      </c>
      <c r="R75" s="1">
        <v>317514253.43443137</v>
      </c>
      <c r="S75" s="1">
        <v>0.38937337985186898</v>
      </c>
    </row>
    <row r="76" spans="1:19" x14ac:dyDescent="0.3">
      <c r="A76" s="1">
        <v>2</v>
      </c>
      <c r="B76" s="1" t="s">
        <v>3287</v>
      </c>
      <c r="C76" s="1" t="s">
        <v>3288</v>
      </c>
      <c r="D76" s="1">
        <v>24.536999999999999</v>
      </c>
      <c r="E76" s="1" t="s">
        <v>3289</v>
      </c>
      <c r="F76" s="1" t="s">
        <v>3290</v>
      </c>
      <c r="G76" s="1">
        <v>211.16390000000001</v>
      </c>
      <c r="H76" s="2">
        <v>1979912.9141855901</v>
      </c>
      <c r="I76" s="1" t="s">
        <v>23</v>
      </c>
      <c r="J76" s="1">
        <v>211.17146</v>
      </c>
      <c r="K76" s="1">
        <v>212.17119</v>
      </c>
      <c r="L76" s="7">
        <f>G76-J76</f>
        <v>-7.5599999999838019E-3</v>
      </c>
      <c r="M76" s="1" t="s">
        <v>24</v>
      </c>
      <c r="N76" s="2">
        <v>937272.19465682399</v>
      </c>
      <c r="O76" s="1">
        <v>1979912.9141855901</v>
      </c>
      <c r="P76" s="1">
        <v>1091606.2061616599</v>
      </c>
      <c r="Q76" s="1">
        <f>STDEV(N76:P76)</f>
        <v>562732.53928886296</v>
      </c>
      <c r="R76" s="1">
        <v>1336263.7716680246</v>
      </c>
      <c r="S76" s="1">
        <v>1.6386840449524294E-3</v>
      </c>
    </row>
    <row r="77" spans="1:19" x14ac:dyDescent="0.3">
      <c r="A77" s="1">
        <v>890</v>
      </c>
      <c r="B77" s="1" t="s">
        <v>234</v>
      </c>
      <c r="C77" s="1" t="s">
        <v>235</v>
      </c>
      <c r="D77" s="1">
        <v>11.365</v>
      </c>
      <c r="E77" s="1" t="s">
        <v>236</v>
      </c>
      <c r="F77" s="1" t="s">
        <v>237</v>
      </c>
      <c r="G77" s="1">
        <v>194.12943999999999</v>
      </c>
      <c r="H77" s="2">
        <v>386011864.74361598</v>
      </c>
      <c r="I77" s="1" t="s">
        <v>23</v>
      </c>
      <c r="J77" s="1">
        <v>194.13939999999999</v>
      </c>
      <c r="K77" s="1">
        <v>195.13672</v>
      </c>
      <c r="L77" s="7">
        <f>G77-J77</f>
        <v>-9.9600000000066302E-3</v>
      </c>
      <c r="M77" s="1" t="s">
        <v>238</v>
      </c>
      <c r="N77" s="2">
        <v>386011864.74361598</v>
      </c>
      <c r="O77" s="1">
        <v>291986047.11276001</v>
      </c>
      <c r="P77" s="1">
        <v>125488041.14645199</v>
      </c>
      <c r="Q77" s="1">
        <f>STDEV(N77:P77)</f>
        <v>131931234.00316927</v>
      </c>
      <c r="R77" s="1">
        <v>267828651.00094262</v>
      </c>
      <c r="S77" s="1">
        <v>0.32844304132299129</v>
      </c>
    </row>
    <row r="78" spans="1:19" x14ac:dyDescent="0.3">
      <c r="A78" s="1">
        <v>310</v>
      </c>
      <c r="B78" s="1" t="s">
        <v>19</v>
      </c>
      <c r="C78" s="1" t="s">
        <v>20</v>
      </c>
      <c r="D78" s="1">
        <v>13.111000000000001</v>
      </c>
      <c r="E78" s="1" t="s">
        <v>21</v>
      </c>
      <c r="F78" s="1" t="s">
        <v>22</v>
      </c>
      <c r="G78" s="1">
        <v>141.11454000000001</v>
      </c>
      <c r="H78" s="2">
        <v>7117658014.0912905</v>
      </c>
      <c r="I78" s="1" t="s">
        <v>23</v>
      </c>
      <c r="J78" s="1">
        <v>141.12468000000001</v>
      </c>
      <c r="K78" s="1">
        <v>142.12181000000001</v>
      </c>
      <c r="L78" s="7">
        <f>G78-J78</f>
        <v>-1.0140000000006921E-2</v>
      </c>
      <c r="M78" s="1" t="s">
        <v>24</v>
      </c>
      <c r="N78" s="2">
        <v>7117658014.0912905</v>
      </c>
      <c r="O78" s="1">
        <v>6786245517.4963398</v>
      </c>
      <c r="P78" s="1">
        <v>6755237098.0385904</v>
      </c>
      <c r="Q78" s="1">
        <f>STDEV(N78:P78)</f>
        <v>200891631.38744074</v>
      </c>
      <c r="R78" s="1">
        <v>6886380209.8754072</v>
      </c>
      <c r="S78" s="1">
        <v>8.4448906096681107</v>
      </c>
    </row>
    <row r="79" spans="1:19" x14ac:dyDescent="0.3">
      <c r="A79" s="1">
        <v>602</v>
      </c>
      <c r="B79" s="1" t="s">
        <v>278</v>
      </c>
      <c r="C79" s="1" t="s">
        <v>279</v>
      </c>
      <c r="D79" s="1">
        <v>11.358000000000001</v>
      </c>
      <c r="E79" s="1" t="s">
        <v>280</v>
      </c>
      <c r="F79" s="1" t="s">
        <v>281</v>
      </c>
      <c r="G79" s="1">
        <v>174.1397</v>
      </c>
      <c r="H79" s="2">
        <v>302539022.755952</v>
      </c>
      <c r="I79" s="1" t="s">
        <v>23</v>
      </c>
      <c r="J79" s="1">
        <v>174.15284</v>
      </c>
      <c r="K79" s="1">
        <v>175.14698000000001</v>
      </c>
      <c r="L79" s="7">
        <f>G79-J79</f>
        <v>-1.3139999999992824E-2</v>
      </c>
      <c r="M79" s="1" t="s">
        <v>24</v>
      </c>
      <c r="N79" s="2">
        <v>302539022.755952</v>
      </c>
      <c r="O79" s="1">
        <v>224974804.19775999</v>
      </c>
      <c r="P79" s="1">
        <v>97533682.668662697</v>
      </c>
      <c r="Q79" s="1">
        <f>STDEV(N79:P79)</f>
        <v>103508966.53707701</v>
      </c>
      <c r="R79" s="1">
        <v>208349169.87412488</v>
      </c>
      <c r="S79" s="1">
        <v>0.25550229504884936</v>
      </c>
    </row>
    <row r="80" spans="1:19" x14ac:dyDescent="0.3">
      <c r="A80" s="1">
        <v>492</v>
      </c>
      <c r="B80" s="1" t="s">
        <v>3314</v>
      </c>
      <c r="C80" s="1" t="s">
        <v>3315</v>
      </c>
      <c r="D80" s="1">
        <v>13.551</v>
      </c>
      <c r="E80" s="1" t="s">
        <v>3316</v>
      </c>
      <c r="F80" s="1" t="s">
        <v>3317</v>
      </c>
      <c r="G80" s="1">
        <v>304.23791</v>
      </c>
      <c r="H80" s="2">
        <v>16957515.439442098</v>
      </c>
      <c r="I80" s="1" t="s">
        <v>23</v>
      </c>
      <c r="J80" s="1">
        <v>304.25157999999999</v>
      </c>
      <c r="K80" s="1">
        <v>305.24518999999998</v>
      </c>
      <c r="L80" s="7">
        <f>G80-J80</f>
        <v>-1.3669999999990523E-2</v>
      </c>
      <c r="M80" s="1" t="s">
        <v>24</v>
      </c>
      <c r="N80" s="2">
        <v>1794868.0938920099</v>
      </c>
      <c r="O80" s="1">
        <v>1447891.8238079201</v>
      </c>
      <c r="P80" s="1">
        <v>547412.45796206698</v>
      </c>
      <c r="Q80" s="1">
        <f>STDEV(N80:P80)</f>
        <v>643868.66982962098</v>
      </c>
      <c r="R80" s="1">
        <v>1263390.7918873325</v>
      </c>
      <c r="S80" s="1">
        <v>1.5493186129122438E-3</v>
      </c>
    </row>
    <row r="81" spans="1:19" x14ac:dyDescent="0.3">
      <c r="A81" s="1">
        <v>307</v>
      </c>
      <c r="B81" s="1" t="s">
        <v>3419</v>
      </c>
      <c r="C81" s="1" t="s">
        <v>3420</v>
      </c>
      <c r="D81" s="1">
        <v>24.616</v>
      </c>
      <c r="E81" s="1" t="s">
        <v>3421</v>
      </c>
      <c r="F81" s="1" t="s">
        <v>3422</v>
      </c>
      <c r="G81" s="1">
        <v>211.20025999999999</v>
      </c>
      <c r="H81" s="2">
        <v>1525257.09707048</v>
      </c>
      <c r="I81" s="1" t="s">
        <v>398</v>
      </c>
      <c r="J81" s="1">
        <v>211.21451999999999</v>
      </c>
      <c r="K81" s="1">
        <v>229.23394999999999</v>
      </c>
      <c r="L81" s="7">
        <f>G81-J81</f>
        <v>-1.4260000000007267E-2</v>
      </c>
      <c r="M81" s="1" t="s">
        <v>24</v>
      </c>
      <c r="N81" s="2">
        <v>828059.11812984</v>
      </c>
      <c r="O81" s="1">
        <v>1046096.6625628599</v>
      </c>
      <c r="P81" s="1">
        <v>1525257.09707048</v>
      </c>
      <c r="Q81" s="1">
        <f>STDEV(N81:P81)</f>
        <v>356655.78985412663</v>
      </c>
      <c r="R81" s="1">
        <v>1133137.6259210601</v>
      </c>
      <c r="S81" s="1">
        <v>1.3895868373459313E-3</v>
      </c>
    </row>
    <row r="82" spans="1:19" x14ac:dyDescent="0.3">
      <c r="A82" s="1">
        <v>11</v>
      </c>
      <c r="B82" s="1" t="s">
        <v>3318</v>
      </c>
      <c r="C82" s="1" t="s">
        <v>3319</v>
      </c>
      <c r="D82" s="1">
        <v>16.867999999999999</v>
      </c>
      <c r="E82" s="1" t="s">
        <v>3320</v>
      </c>
      <c r="F82" s="1" t="s">
        <v>3321</v>
      </c>
      <c r="G82" s="1">
        <v>308.26906000000002</v>
      </c>
      <c r="H82" s="2">
        <v>38881912.540507898</v>
      </c>
      <c r="I82" s="1" t="s">
        <v>23</v>
      </c>
      <c r="J82" s="1">
        <v>308.28663999999998</v>
      </c>
      <c r="K82" s="1">
        <v>309.27634</v>
      </c>
      <c r="L82" s="7">
        <f>G82-J82</f>
        <v>-1.7579999999952634E-2</v>
      </c>
      <c r="M82" s="1" t="s">
        <v>3322</v>
      </c>
      <c r="N82" s="2">
        <v>1071851.36403807</v>
      </c>
      <c r="O82" s="1">
        <v>1378902.96248163</v>
      </c>
      <c r="P82" s="1">
        <v>1333451.0601748701</v>
      </c>
      <c r="Q82" s="1">
        <f>STDEV(N82:P82)</f>
        <v>165721.13149752159</v>
      </c>
      <c r="R82" s="1">
        <v>1261401.7955648566</v>
      </c>
      <c r="S82" s="1">
        <v>1.5468794713234227E-3</v>
      </c>
    </row>
    <row r="83" spans="1:19" x14ac:dyDescent="0.3">
      <c r="A83" s="1">
        <v>559</v>
      </c>
      <c r="B83" s="1" t="s">
        <v>879</v>
      </c>
      <c r="C83" s="1" t="s">
        <v>880</v>
      </c>
      <c r="D83" s="1">
        <v>8.4619999999999997</v>
      </c>
      <c r="E83" s="1" t="s">
        <v>881</v>
      </c>
      <c r="F83" s="1" t="s">
        <v>882</v>
      </c>
      <c r="G83" s="1">
        <v>192.15030999999999</v>
      </c>
      <c r="H83" s="2">
        <v>51939624.880796298</v>
      </c>
      <c r="I83" s="1" t="s">
        <v>23</v>
      </c>
      <c r="J83" s="1">
        <v>192.16811999999999</v>
      </c>
      <c r="K83" s="1">
        <v>193.15754999999999</v>
      </c>
      <c r="L83" s="7">
        <f>G83-J83</f>
        <v>-1.7809999999997217E-2</v>
      </c>
      <c r="M83" s="1" t="s">
        <v>675</v>
      </c>
      <c r="N83" s="2">
        <v>50836441.350257397</v>
      </c>
      <c r="O83" s="1">
        <v>46751502.016376197</v>
      </c>
      <c r="P83" s="1">
        <v>51939624.880796298</v>
      </c>
      <c r="Q83" s="1">
        <f>STDEV(N83:P83)</f>
        <v>2733141.1147816926</v>
      </c>
      <c r="R83" s="1">
        <v>49842522.749143302</v>
      </c>
      <c r="S83" s="1">
        <v>6.1122772704707361E-2</v>
      </c>
    </row>
    <row r="84" spans="1:19" x14ac:dyDescent="0.3">
      <c r="A84" s="1">
        <v>186</v>
      </c>
      <c r="B84" s="1" t="s">
        <v>778</v>
      </c>
      <c r="C84" s="1" t="s">
        <v>779</v>
      </c>
      <c r="D84" s="1">
        <v>11.353</v>
      </c>
      <c r="E84" s="1" t="s">
        <v>780</v>
      </c>
      <c r="F84" s="1" t="s">
        <v>781</v>
      </c>
      <c r="G84" s="1">
        <v>329.32695999999999</v>
      </c>
      <c r="H84" s="2">
        <v>141490258.08932099</v>
      </c>
      <c r="I84" s="1" t="s">
        <v>23</v>
      </c>
      <c r="J84" s="1">
        <v>329.34715999999997</v>
      </c>
      <c r="K84" s="1">
        <v>330.33424000000002</v>
      </c>
      <c r="L84" s="7">
        <f>G84-J84</f>
        <v>-2.0199999999988449E-2</v>
      </c>
      <c r="M84" s="1" t="s">
        <v>782</v>
      </c>
      <c r="N84" s="2">
        <v>104913957.765223</v>
      </c>
      <c r="O84" s="1">
        <v>65673590.386695601</v>
      </c>
      <c r="P84" s="1">
        <v>5485925.8452907903</v>
      </c>
      <c r="Q84" s="1">
        <f>STDEV(N84:P84)</f>
        <v>50080426.859239027</v>
      </c>
      <c r="R84" s="1">
        <v>58691157.999069788</v>
      </c>
      <c r="S84" s="1">
        <v>7.1974011592638928E-2</v>
      </c>
    </row>
    <row r="85" spans="1:19" x14ac:dyDescent="0.3">
      <c r="A85" s="1">
        <v>540</v>
      </c>
      <c r="B85" s="1" t="s">
        <v>3867</v>
      </c>
      <c r="C85" s="1" t="s">
        <v>3868</v>
      </c>
      <c r="D85" s="1">
        <v>14.118</v>
      </c>
      <c r="E85" s="1" t="s">
        <v>3869</v>
      </c>
      <c r="F85" s="1" t="s">
        <v>3870</v>
      </c>
      <c r="G85" s="1">
        <v>345.30065000000002</v>
      </c>
      <c r="H85" s="2">
        <v>30455499.703021601</v>
      </c>
      <c r="I85" s="1" t="s">
        <v>23</v>
      </c>
      <c r="J85" s="1">
        <v>345.32337999999999</v>
      </c>
      <c r="K85" s="1">
        <v>346.30792000000002</v>
      </c>
      <c r="L85" s="7">
        <f>G85-J85</f>
        <v>-2.2729999999967276E-2</v>
      </c>
      <c r="M85" s="1" t="s">
        <v>3525</v>
      </c>
      <c r="N85" s="2">
        <v>779105.71482834802</v>
      </c>
      <c r="O85" s="1">
        <v>713846.94178270397</v>
      </c>
      <c r="P85" s="1">
        <v>610397.715682343</v>
      </c>
      <c r="Q85" s="1">
        <f>STDEV(N85:P85)</f>
        <v>85071.380632222528</v>
      </c>
      <c r="R85" s="1">
        <v>701116.790764465</v>
      </c>
      <c r="S85" s="1">
        <v>8.5979199843143664E-4</v>
      </c>
    </row>
    <row r="86" spans="1:19" x14ac:dyDescent="0.3">
      <c r="A86" s="1">
        <v>534</v>
      </c>
      <c r="B86" s="1" t="s">
        <v>3779</v>
      </c>
      <c r="C86" s="1" t="s">
        <v>3780</v>
      </c>
      <c r="D86" s="1">
        <v>14.496</v>
      </c>
      <c r="E86" s="1" t="s">
        <v>3781</v>
      </c>
      <c r="F86" s="1" t="s">
        <v>3782</v>
      </c>
      <c r="G86" s="1">
        <v>345.30052000000001</v>
      </c>
      <c r="H86" s="2">
        <v>76205456.195532903</v>
      </c>
      <c r="I86" s="1" t="s">
        <v>23</v>
      </c>
      <c r="J86" s="1">
        <v>345.32337999999999</v>
      </c>
      <c r="K86" s="1">
        <v>346.30779999999999</v>
      </c>
      <c r="L86" s="7">
        <f>G86-J86</f>
        <v>-2.2859999999980118E-2</v>
      </c>
      <c r="M86" s="1" t="s">
        <v>3525</v>
      </c>
      <c r="N86" s="2">
        <v>775264.80869370699</v>
      </c>
      <c r="O86" s="1">
        <v>851766.42483257398</v>
      </c>
      <c r="P86" s="1">
        <v>726571.62539619801</v>
      </c>
      <c r="Q86" s="1">
        <f>STDEV(N86:P86)</f>
        <v>63110.037734919482</v>
      </c>
      <c r="R86" s="1">
        <v>784534.28630749311</v>
      </c>
      <c r="S86" s="1">
        <v>9.6208835781384945E-4</v>
      </c>
    </row>
    <row r="87" spans="1:19" x14ac:dyDescent="0.3">
      <c r="A87" s="1">
        <v>532</v>
      </c>
      <c r="B87" s="1" t="s">
        <v>2069</v>
      </c>
      <c r="C87" s="1" t="s">
        <v>2070</v>
      </c>
      <c r="D87" s="1">
        <v>9.3710000000000004</v>
      </c>
      <c r="E87" s="1" t="s">
        <v>2071</v>
      </c>
      <c r="F87" s="1" t="s">
        <v>2072</v>
      </c>
      <c r="G87" s="1">
        <v>302.20760000000001</v>
      </c>
      <c r="H87" s="2">
        <v>27670955.683496699</v>
      </c>
      <c r="I87" s="1" t="s">
        <v>17</v>
      </c>
      <c r="J87" s="1">
        <v>302.23570000000001</v>
      </c>
      <c r="K87" s="1">
        <v>301.20033000000001</v>
      </c>
      <c r="L87" s="7">
        <f>G87-J87</f>
        <v>-2.8099999999994907E-2</v>
      </c>
      <c r="M87" s="1" t="s">
        <v>2073</v>
      </c>
      <c r="N87" s="2">
        <v>7092268.38320735</v>
      </c>
      <c r="O87" s="1">
        <v>7563907.9620427499</v>
      </c>
      <c r="P87" s="1">
        <v>6014920.1280584503</v>
      </c>
      <c r="Q87" s="1">
        <f>STDEV(N87:P87)</f>
        <v>793986.40469340794</v>
      </c>
      <c r="R87" s="1">
        <v>6890365.4911028491</v>
      </c>
      <c r="S87" s="1">
        <v>8.4497778309641763E-3</v>
      </c>
    </row>
    <row r="88" spans="1:19" x14ac:dyDescent="0.3">
      <c r="A88" s="1">
        <v>614</v>
      </c>
      <c r="B88" s="1" t="s">
        <v>1962</v>
      </c>
      <c r="C88" s="1" t="s">
        <v>1963</v>
      </c>
      <c r="D88" s="1">
        <v>0.72899999999999998</v>
      </c>
      <c r="E88" s="1" t="s">
        <v>1964</v>
      </c>
      <c r="F88" s="1" t="s">
        <v>1965</v>
      </c>
      <c r="G88" s="1">
        <v>188.15100000000001</v>
      </c>
      <c r="H88" s="2">
        <v>14547060.3362788</v>
      </c>
      <c r="I88" s="1" t="s">
        <v>23</v>
      </c>
      <c r="J88" s="1">
        <v>188.17941999999999</v>
      </c>
      <c r="K88" s="1">
        <v>189.15857</v>
      </c>
      <c r="L88" s="7">
        <f>G88-J88</f>
        <v>-2.8419999999982792E-2</v>
      </c>
      <c r="M88" s="1" t="s">
        <v>24</v>
      </c>
      <c r="N88" s="2">
        <v>9594093.0986363403</v>
      </c>
      <c r="O88" s="1">
        <v>7673854.8470790498</v>
      </c>
      <c r="P88" s="1">
        <v>5591810.9710231703</v>
      </c>
      <c r="Q88" s="1">
        <f>STDEV(N88:P88)</f>
        <v>2001686.1173178165</v>
      </c>
      <c r="R88" s="1">
        <v>7619919.6389128538</v>
      </c>
      <c r="S88" s="1">
        <v>9.3444430664459399E-3</v>
      </c>
    </row>
    <row r="89" spans="1:19" x14ac:dyDescent="0.3">
      <c r="A89" s="1">
        <v>935</v>
      </c>
      <c r="B89" s="1" t="s">
        <v>4155</v>
      </c>
      <c r="C89" s="1" t="s">
        <v>4156</v>
      </c>
      <c r="D89" s="1">
        <v>15.986000000000001</v>
      </c>
      <c r="E89" s="1" t="s">
        <v>4157</v>
      </c>
      <c r="F89" s="1" t="s">
        <v>4158</v>
      </c>
      <c r="G89" s="1">
        <v>307.22566</v>
      </c>
      <c r="H89" s="2">
        <v>562482.010349522</v>
      </c>
      <c r="I89" s="1" t="s">
        <v>23</v>
      </c>
      <c r="J89" s="1">
        <v>307.25551999999999</v>
      </c>
      <c r="K89" s="1">
        <v>308.23293999999999</v>
      </c>
      <c r="L89" s="7">
        <f>G89-J89</f>
        <v>-2.9859999999985121E-2</v>
      </c>
      <c r="M89" s="1" t="s">
        <v>24</v>
      </c>
      <c r="N89" s="2">
        <v>329226.88486645703</v>
      </c>
      <c r="O89" s="1">
        <v>501394.43379125098</v>
      </c>
      <c r="P89" s="1">
        <v>562482.010349522</v>
      </c>
      <c r="Q89" s="1">
        <f>STDEV(N89:P89)</f>
        <v>120955.43978166379</v>
      </c>
      <c r="R89" s="1">
        <v>464367.77633574331</v>
      </c>
      <c r="S89" s="1">
        <v>5.6946246856752209E-4</v>
      </c>
    </row>
    <row r="90" spans="1:19" x14ac:dyDescent="0.3">
      <c r="A90" s="1">
        <v>905</v>
      </c>
      <c r="B90" s="1" t="s">
        <v>2889</v>
      </c>
      <c r="C90" s="1" t="s">
        <v>2890</v>
      </c>
      <c r="D90" s="1">
        <v>0.751</v>
      </c>
      <c r="E90" s="1" t="s">
        <v>2891</v>
      </c>
      <c r="F90" s="1" t="s">
        <v>2892</v>
      </c>
      <c r="G90" s="1">
        <v>180.12491</v>
      </c>
      <c r="H90" s="2">
        <v>4814734.2172201397</v>
      </c>
      <c r="I90" s="1" t="s">
        <v>23</v>
      </c>
      <c r="J90" s="1">
        <v>180.15588</v>
      </c>
      <c r="K90" s="1">
        <v>181.13219000000001</v>
      </c>
      <c r="L90" s="7">
        <f>G90-J90</f>
        <v>-3.0969999999996389E-2</v>
      </c>
      <c r="M90" s="1" t="s">
        <v>24</v>
      </c>
      <c r="N90" s="2">
        <v>2178292.9060761901</v>
      </c>
      <c r="O90" s="1">
        <v>2054305.3953539</v>
      </c>
      <c r="P90" s="1">
        <v>2306002.2663846998</v>
      </c>
      <c r="Q90" s="1">
        <f>STDEV(N90:P90)</f>
        <v>125853.02169078939</v>
      </c>
      <c r="R90" s="1">
        <v>2179533.5226049297</v>
      </c>
      <c r="S90" s="1">
        <v>2.672800748368241E-3</v>
      </c>
    </row>
    <row r="91" spans="1:19" x14ac:dyDescent="0.3">
      <c r="A91" s="1">
        <v>898</v>
      </c>
      <c r="B91" s="1" t="s">
        <v>3961</v>
      </c>
      <c r="C91" s="1" t="s">
        <v>3962</v>
      </c>
      <c r="D91" s="1">
        <v>1.097</v>
      </c>
      <c r="E91" s="1" t="s">
        <v>3963</v>
      </c>
      <c r="F91" s="1" t="s">
        <v>3964</v>
      </c>
      <c r="G91" s="1">
        <v>117.11503</v>
      </c>
      <c r="H91" s="2">
        <v>14385749.389906101</v>
      </c>
      <c r="I91" s="1" t="s">
        <v>23</v>
      </c>
      <c r="J91" s="1">
        <v>117.14634</v>
      </c>
      <c r="K91" s="1">
        <v>118.12220000000001</v>
      </c>
      <c r="L91" s="7">
        <f>G91-J91</f>
        <v>-3.1309999999990623E-2</v>
      </c>
      <c r="M91" s="1" t="s">
        <v>3965</v>
      </c>
      <c r="N91" s="2">
        <v>561768.072089519</v>
      </c>
      <c r="O91" s="1">
        <v>658671.92005060206</v>
      </c>
      <c r="P91" s="1">
        <v>689097.29679976497</v>
      </c>
      <c r="Q91" s="1">
        <f>STDEV(N91:P91)</f>
        <v>66494.098441522758</v>
      </c>
      <c r="R91" s="1">
        <v>636512.42964662868</v>
      </c>
      <c r="S91" s="1">
        <v>7.8056652061578541E-4</v>
      </c>
    </row>
    <row r="92" spans="1:19" x14ac:dyDescent="0.3">
      <c r="A92" s="1">
        <v>554</v>
      </c>
      <c r="B92" s="1" t="s">
        <v>3078</v>
      </c>
      <c r="C92" s="1" t="s">
        <v>3079</v>
      </c>
      <c r="D92" s="1">
        <v>7.7329999999999997</v>
      </c>
      <c r="E92" s="1" t="s">
        <v>3080</v>
      </c>
      <c r="F92" s="1" t="s">
        <v>3081</v>
      </c>
      <c r="G92" s="1">
        <v>271.21244999999999</v>
      </c>
      <c r="H92" s="2">
        <v>25365019.474282801</v>
      </c>
      <c r="I92" s="1" t="s">
        <v>23</v>
      </c>
      <c r="J92" s="1">
        <v>271.24484000000001</v>
      </c>
      <c r="K92" s="1">
        <v>272.21973000000003</v>
      </c>
      <c r="L92" s="7">
        <f>G92-J92</f>
        <v>-3.2390000000020791E-2</v>
      </c>
      <c r="M92" s="1" t="s">
        <v>24</v>
      </c>
      <c r="N92" s="2">
        <v>1511533.5805108601</v>
      </c>
      <c r="O92" s="1">
        <v>1874432.63291368</v>
      </c>
      <c r="P92" s="1">
        <v>1949641.74743355</v>
      </c>
      <c r="Q92" s="1">
        <f>STDEV(N92:P92)</f>
        <v>234268.68444376992</v>
      </c>
      <c r="R92" s="1">
        <v>1778535.9869526967</v>
      </c>
      <c r="S92" s="1">
        <v>2.1810503337638654E-3</v>
      </c>
    </row>
    <row r="93" spans="1:19" x14ac:dyDescent="0.3">
      <c r="A93" s="1">
        <v>891</v>
      </c>
      <c r="B93" s="1" t="s">
        <v>1759</v>
      </c>
      <c r="C93" s="1" t="s">
        <v>1760</v>
      </c>
      <c r="D93" s="1">
        <v>0.253</v>
      </c>
      <c r="E93" s="1" t="s">
        <v>1761</v>
      </c>
      <c r="F93" s="1" t="s">
        <v>1762</v>
      </c>
      <c r="G93" s="1">
        <v>166.09837999999999</v>
      </c>
      <c r="H93" s="2">
        <v>16872392.549575798</v>
      </c>
      <c r="I93" s="1" t="s">
        <v>23</v>
      </c>
      <c r="J93" s="1">
        <v>166.13084000000001</v>
      </c>
      <c r="K93" s="1">
        <v>167.10565</v>
      </c>
      <c r="L93" s="7">
        <f>G93-J93</f>
        <v>-3.2460000000014588E-2</v>
      </c>
      <c r="M93" s="1" t="s">
        <v>24</v>
      </c>
      <c r="N93" s="2">
        <v>7709235.6743874904</v>
      </c>
      <c r="O93" s="1">
        <v>5314245.1113172797</v>
      </c>
      <c r="P93" s="1">
        <v>16872392.549575798</v>
      </c>
      <c r="Q93" s="1">
        <f>STDEV(N93:P93)</f>
        <v>6100412.4986352101</v>
      </c>
      <c r="R93" s="1">
        <v>9965291.1117601898</v>
      </c>
      <c r="S93" s="1">
        <v>1.22206138446479E-2</v>
      </c>
    </row>
    <row r="94" spans="1:19" x14ac:dyDescent="0.3">
      <c r="A94" s="1">
        <v>619</v>
      </c>
      <c r="B94" s="1" t="s">
        <v>1878</v>
      </c>
      <c r="C94" s="1" t="s">
        <v>1879</v>
      </c>
      <c r="D94" s="1">
        <v>8.6769999999999996</v>
      </c>
      <c r="E94" s="1" t="s">
        <v>1880</v>
      </c>
      <c r="F94" s="1" t="s">
        <v>1881</v>
      </c>
      <c r="G94" s="1">
        <v>328.23775000000001</v>
      </c>
      <c r="H94" s="2">
        <v>9573848.8745704293</v>
      </c>
      <c r="I94" s="1" t="s">
        <v>23</v>
      </c>
      <c r="J94" s="1">
        <v>328.27298000000002</v>
      </c>
      <c r="K94" s="1">
        <v>329.24502999999999</v>
      </c>
      <c r="L94" s="7">
        <f>G94-J94</f>
        <v>-3.5230000000012751E-2</v>
      </c>
      <c r="M94" s="1" t="s">
        <v>1882</v>
      </c>
      <c r="N94" s="2">
        <v>9573848.8745704293</v>
      </c>
      <c r="O94" s="1">
        <v>9571468.5930598602</v>
      </c>
      <c r="P94" s="1">
        <v>6681869.6866144901</v>
      </c>
      <c r="Q94" s="1">
        <f>STDEV(N94:P94)</f>
        <v>1668998.258908642</v>
      </c>
      <c r="R94" s="1">
        <v>8609062.3847482596</v>
      </c>
      <c r="S94" s="1">
        <v>1.0557446419636901E-2</v>
      </c>
    </row>
    <row r="95" spans="1:19" x14ac:dyDescent="0.3">
      <c r="A95" s="1">
        <v>3</v>
      </c>
      <c r="B95" s="1" t="s">
        <v>3774</v>
      </c>
      <c r="C95" s="1" t="s">
        <v>3775</v>
      </c>
      <c r="D95" s="1">
        <v>10.832000000000001</v>
      </c>
      <c r="E95" s="1" t="s">
        <v>3776</v>
      </c>
      <c r="F95" s="1" t="s">
        <v>3777</v>
      </c>
      <c r="G95" s="1">
        <v>388.29131000000001</v>
      </c>
      <c r="H95" s="2">
        <v>21901069.245382801</v>
      </c>
      <c r="I95" s="1" t="s">
        <v>17</v>
      </c>
      <c r="J95" s="1">
        <v>388.32823999999999</v>
      </c>
      <c r="K95" s="1">
        <v>387.28404</v>
      </c>
      <c r="L95" s="7">
        <f>G95-J95</f>
        <v>-3.692999999998392E-2</v>
      </c>
      <c r="M95" s="1" t="s">
        <v>3778</v>
      </c>
      <c r="N95" s="2">
        <v>1501382.94806672</v>
      </c>
      <c r="O95" s="1">
        <v>467979.40492972801</v>
      </c>
      <c r="P95" s="1">
        <v>393759.45203479001</v>
      </c>
      <c r="Q95" s="1">
        <f>STDEV(N95:P95)</f>
        <v>619174.35526915069</v>
      </c>
      <c r="R95" s="1">
        <v>787707.26834374608</v>
      </c>
      <c r="S95" s="1">
        <v>9.6597944215510783E-4</v>
      </c>
    </row>
    <row r="96" spans="1:19" x14ac:dyDescent="0.3">
      <c r="A96" s="1">
        <v>27</v>
      </c>
      <c r="B96" s="1" t="s">
        <v>176</v>
      </c>
      <c r="C96" s="1" t="s">
        <v>177</v>
      </c>
      <c r="D96" s="1">
        <v>11.305999999999999</v>
      </c>
      <c r="E96" s="1" t="s">
        <v>178</v>
      </c>
      <c r="F96" s="1" t="s">
        <v>179</v>
      </c>
      <c r="G96" s="1">
        <v>339.26186000000001</v>
      </c>
      <c r="H96" s="2">
        <v>608121204.247558</v>
      </c>
      <c r="I96" s="1" t="s">
        <v>23</v>
      </c>
      <c r="J96" s="1">
        <v>339.30068</v>
      </c>
      <c r="K96" s="1">
        <v>340.26913000000002</v>
      </c>
      <c r="L96" s="7">
        <f>G96-J96</f>
        <v>-3.8819999999986976E-2</v>
      </c>
      <c r="M96" s="1" t="s">
        <v>180</v>
      </c>
      <c r="N96" s="2">
        <v>608121204.247558</v>
      </c>
      <c r="O96" s="1">
        <v>419738287.60329401</v>
      </c>
      <c r="P96" s="1">
        <v>159031779.552396</v>
      </c>
      <c r="Q96" s="1">
        <f>STDEV(N96:P96)</f>
        <v>225513236.12171274</v>
      </c>
      <c r="R96" s="1">
        <v>395630423.80108267</v>
      </c>
      <c r="S96" s="1">
        <v>0.4851686298217372</v>
      </c>
    </row>
    <row r="97" spans="1:19" x14ac:dyDescent="0.3">
      <c r="A97" s="1">
        <v>610</v>
      </c>
      <c r="B97" s="1" t="s">
        <v>4576</v>
      </c>
      <c r="C97" s="1" t="s">
        <v>4577</v>
      </c>
      <c r="D97" s="1">
        <v>16.678999999999998</v>
      </c>
      <c r="E97" s="1" t="s">
        <v>4578</v>
      </c>
      <c r="F97" s="1" t="s">
        <v>4579</v>
      </c>
      <c r="G97" s="1">
        <v>188.13933</v>
      </c>
      <c r="H97" s="2">
        <v>646826.29583511106</v>
      </c>
      <c r="I97" s="1" t="s">
        <v>17</v>
      </c>
      <c r="J97" s="1">
        <v>188.17941999999999</v>
      </c>
      <c r="K97" s="1">
        <v>187.13204999999999</v>
      </c>
      <c r="L97" s="7">
        <f>G97-J97</f>
        <v>-4.0089999999992187E-2</v>
      </c>
      <c r="M97" s="1" t="s">
        <v>4580</v>
      </c>
      <c r="N97" s="2">
        <v>60975.064090194697</v>
      </c>
      <c r="O97" s="1">
        <v>61356.680967177803</v>
      </c>
      <c r="P97" s="1">
        <v>201660.701610174</v>
      </c>
      <c r="Q97" s="1">
        <f>STDEV(N97:P97)</f>
        <v>81114.951811646199</v>
      </c>
      <c r="R97" s="1">
        <v>107997.48222251551</v>
      </c>
      <c r="S97" s="1">
        <v>1.3243923450244999E-4</v>
      </c>
    </row>
    <row r="98" spans="1:19" x14ac:dyDescent="0.3">
      <c r="A98" s="1">
        <v>627</v>
      </c>
      <c r="B98" s="1" t="s">
        <v>1263</v>
      </c>
      <c r="C98" s="1" t="s">
        <v>1264</v>
      </c>
      <c r="D98" s="1">
        <v>8.08</v>
      </c>
      <c r="E98" s="1" t="s">
        <v>1265</v>
      </c>
      <c r="F98" s="1" t="s">
        <v>1266</v>
      </c>
      <c r="G98" s="1">
        <v>268.18085000000002</v>
      </c>
      <c r="H98" s="2">
        <v>35288790.928563297</v>
      </c>
      <c r="I98" s="1" t="s">
        <v>23</v>
      </c>
      <c r="J98" s="1">
        <v>268.22102000000001</v>
      </c>
      <c r="K98" s="1">
        <v>269.18808000000001</v>
      </c>
      <c r="L98" s="7">
        <f>G98-J98</f>
        <v>-4.0169999999989159E-2</v>
      </c>
      <c r="M98" s="1" t="s">
        <v>1050</v>
      </c>
      <c r="N98" s="2">
        <v>25910890.556265801</v>
      </c>
      <c r="O98" s="1">
        <v>35288790.928563297</v>
      </c>
      <c r="P98" s="1">
        <v>19654374.597950902</v>
      </c>
      <c r="Q98" s="1">
        <f>STDEV(N98:P98)</f>
        <v>7868968.3920268416</v>
      </c>
      <c r="R98" s="1">
        <v>26951352.027593333</v>
      </c>
      <c r="S98" s="1">
        <v>3.3050922650087085E-2</v>
      </c>
    </row>
    <row r="99" spans="1:19" x14ac:dyDescent="0.3">
      <c r="A99" s="1">
        <v>592</v>
      </c>
      <c r="B99" s="1" t="s">
        <v>4493</v>
      </c>
      <c r="C99" s="1" t="s">
        <v>4494</v>
      </c>
      <c r="D99" s="1">
        <v>15.503</v>
      </c>
      <c r="E99" s="1" t="s">
        <v>4495</v>
      </c>
      <c r="F99" s="1" t="s">
        <v>4496</v>
      </c>
      <c r="G99" s="1">
        <v>402.31070999999997</v>
      </c>
      <c r="H99" s="2">
        <v>69011175.750916705</v>
      </c>
      <c r="I99" s="1" t="s">
        <v>17</v>
      </c>
      <c r="J99" s="1">
        <v>402.35151999999999</v>
      </c>
      <c r="K99" s="1">
        <v>401.30344000000002</v>
      </c>
      <c r="L99" s="7">
        <f>G99-J99</f>
        <v>-4.0810000000021773E-2</v>
      </c>
      <c r="M99" s="1" t="s">
        <v>4497</v>
      </c>
      <c r="N99" s="2">
        <v>132601.33981977901</v>
      </c>
      <c r="O99" s="1">
        <v>240662.20635833099</v>
      </c>
      <c r="P99" s="1">
        <v>173996.79899921099</v>
      </c>
      <c r="Q99" s="1">
        <f>STDEV(N99:P99)</f>
        <v>54520.655804468872</v>
      </c>
      <c r="R99" s="1">
        <v>182420.11505910699</v>
      </c>
      <c r="S99" s="1">
        <v>2.2370503366457326E-4</v>
      </c>
    </row>
    <row r="100" spans="1:19" x14ac:dyDescent="0.3">
      <c r="A100" s="1">
        <v>676</v>
      </c>
      <c r="B100" s="1" t="s">
        <v>1229</v>
      </c>
      <c r="C100" s="1" t="s">
        <v>1230</v>
      </c>
      <c r="D100" s="1">
        <v>12.239000000000001</v>
      </c>
      <c r="E100" s="1" t="s">
        <v>1231</v>
      </c>
      <c r="F100" s="1" t="s">
        <v>1232</v>
      </c>
      <c r="G100" s="1">
        <v>298.24923000000001</v>
      </c>
      <c r="H100" s="2">
        <v>42535348.353276603</v>
      </c>
      <c r="I100" s="1" t="s">
        <v>17</v>
      </c>
      <c r="J100" s="1">
        <v>298.29005999999998</v>
      </c>
      <c r="K100" s="1">
        <v>297.24194999999997</v>
      </c>
      <c r="L100" s="7">
        <f>G100-J100</f>
        <v>-4.0829999999971278E-2</v>
      </c>
      <c r="M100" s="1" t="s">
        <v>1233</v>
      </c>
      <c r="N100" s="2">
        <v>42535348.353276603</v>
      </c>
      <c r="O100" s="1">
        <v>32350752.2306142</v>
      </c>
      <c r="P100" s="1">
        <v>9724371.9856849499</v>
      </c>
      <c r="Q100" s="1">
        <f>STDEV(N100:P100)</f>
        <v>16794042.849398185</v>
      </c>
      <c r="R100" s="1">
        <v>28203490.856525246</v>
      </c>
      <c r="S100" s="1">
        <v>3.4586442780573642E-2</v>
      </c>
    </row>
    <row r="101" spans="1:19" x14ac:dyDescent="0.3">
      <c r="A101" s="1">
        <v>536</v>
      </c>
      <c r="B101" s="1" t="s">
        <v>2352</v>
      </c>
      <c r="C101" s="1" t="s">
        <v>2353</v>
      </c>
      <c r="D101" s="1">
        <v>10.551</v>
      </c>
      <c r="E101" s="1" t="s">
        <v>2354</v>
      </c>
      <c r="F101" s="1" t="s">
        <v>2355</v>
      </c>
      <c r="G101" s="1">
        <v>272.21179000000001</v>
      </c>
      <c r="H101" s="2">
        <v>10538433.708408499</v>
      </c>
      <c r="I101" s="1" t="s">
        <v>23</v>
      </c>
      <c r="J101" s="1">
        <v>272.25277999999997</v>
      </c>
      <c r="K101" s="1">
        <v>273.21893</v>
      </c>
      <c r="L101" s="7">
        <f>G101-J101</f>
        <v>-4.0989999999965221E-2</v>
      </c>
      <c r="M101" s="1" t="s">
        <v>24</v>
      </c>
      <c r="N101" s="2">
        <v>1111579.3112681301</v>
      </c>
      <c r="O101" s="1">
        <v>10538433.708408499</v>
      </c>
      <c r="P101" s="1">
        <v>1972875.88240459</v>
      </c>
      <c r="Q101" s="1">
        <f>STDEV(N101:P101)</f>
        <v>5211784.6668064501</v>
      </c>
      <c r="R101" s="1">
        <v>4540962.9673604062</v>
      </c>
      <c r="S101" s="1">
        <v>5.5686637033081198E-3</v>
      </c>
    </row>
    <row r="102" spans="1:19" x14ac:dyDescent="0.3">
      <c r="A102" s="1">
        <v>25</v>
      </c>
      <c r="B102" s="1" t="s">
        <v>1046</v>
      </c>
      <c r="C102" s="1" t="s">
        <v>1047</v>
      </c>
      <c r="D102" s="1">
        <v>9.02</v>
      </c>
      <c r="E102" s="1" t="s">
        <v>1048</v>
      </c>
      <c r="F102" s="1" t="s">
        <v>1049</v>
      </c>
      <c r="G102" s="1">
        <v>268.18070999999998</v>
      </c>
      <c r="H102" s="2">
        <v>64556134.7491979</v>
      </c>
      <c r="I102" s="1" t="s">
        <v>23</v>
      </c>
      <c r="J102" s="1">
        <v>268.22278</v>
      </c>
      <c r="K102" s="1">
        <v>269.18799000000001</v>
      </c>
      <c r="L102" s="7">
        <f>G102-J102</f>
        <v>-4.2070000000023811E-2</v>
      </c>
      <c r="M102" s="1" t="s">
        <v>1050</v>
      </c>
      <c r="N102" s="2">
        <v>25910890.556265801</v>
      </c>
      <c r="O102" s="1">
        <v>64556134.7491979</v>
      </c>
      <c r="P102" s="1">
        <v>25858226.586384099</v>
      </c>
      <c r="Q102" s="1">
        <f>STDEV(N102:P102)</f>
        <v>22327060.443934564</v>
      </c>
      <c r="R102" s="1">
        <v>38775083.963949271</v>
      </c>
      <c r="S102" s="1">
        <v>4.7550575552983039E-2</v>
      </c>
    </row>
    <row r="103" spans="1:19" x14ac:dyDescent="0.3">
      <c r="A103" s="1">
        <v>888</v>
      </c>
      <c r="B103" s="1" t="s">
        <v>995</v>
      </c>
      <c r="C103" s="1" t="s">
        <v>996</v>
      </c>
      <c r="D103" s="1">
        <v>9.1389999999999993</v>
      </c>
      <c r="E103" s="1" t="s">
        <v>997</v>
      </c>
      <c r="F103" s="1" t="s">
        <v>998</v>
      </c>
      <c r="G103" s="1">
        <v>180.11373</v>
      </c>
      <c r="H103" s="2">
        <v>168627572.91999999</v>
      </c>
      <c r="I103" s="1" t="s">
        <v>23</v>
      </c>
      <c r="J103" s="1">
        <v>180.15588</v>
      </c>
      <c r="K103" s="1">
        <v>181.12101000000001</v>
      </c>
      <c r="L103" s="7">
        <f>G103-J103</f>
        <v>-4.214999999999236E-2</v>
      </c>
      <c r="M103" s="1" t="s">
        <v>999</v>
      </c>
      <c r="N103" s="2">
        <v>25526278.214664798</v>
      </c>
      <c r="O103" s="1">
        <v>70300462.159522995</v>
      </c>
      <c r="P103" s="1">
        <v>28372603.789524201</v>
      </c>
      <c r="Q103" s="1">
        <f>STDEV(N103:P103)</f>
        <v>25069152.441133626</v>
      </c>
      <c r="R103" s="1">
        <v>41399781.387903996</v>
      </c>
      <c r="S103" s="1">
        <v>5.0769288716248293E-2</v>
      </c>
    </row>
    <row r="104" spans="1:19" x14ac:dyDescent="0.3">
      <c r="A104" s="1">
        <v>314</v>
      </c>
      <c r="B104" s="1" t="s">
        <v>1896</v>
      </c>
      <c r="C104" s="1" t="s">
        <v>1897</v>
      </c>
      <c r="D104" s="1">
        <v>6.3E-2</v>
      </c>
      <c r="E104" s="1" t="s">
        <v>1898</v>
      </c>
      <c r="F104" s="1" t="s">
        <v>1899</v>
      </c>
      <c r="G104" s="1">
        <v>220.18092999999999</v>
      </c>
      <c r="H104" s="2">
        <v>13659159.936819799</v>
      </c>
      <c r="I104" s="1" t="s">
        <v>17</v>
      </c>
      <c r="J104" s="1">
        <v>220.22458</v>
      </c>
      <c r="K104" s="1">
        <v>219.17359999999999</v>
      </c>
      <c r="L104" s="7">
        <f>G104-J104</f>
        <v>-4.3650000000013733E-2</v>
      </c>
      <c r="M104" s="1" t="s">
        <v>1900</v>
      </c>
      <c r="N104" s="2">
        <v>577814.97124336904</v>
      </c>
      <c r="O104" s="1">
        <v>10891167.2581452</v>
      </c>
      <c r="P104" s="1">
        <v>13659159.936819799</v>
      </c>
      <c r="Q104" s="1">
        <f>STDEV(N104:P104)</f>
        <v>6893820.9648369318</v>
      </c>
      <c r="R104" s="1">
        <v>8376047.3887361223</v>
      </c>
      <c r="S104" s="1">
        <v>1.0271695983012323E-2</v>
      </c>
    </row>
    <row r="105" spans="1:19" x14ac:dyDescent="0.3">
      <c r="A105" s="1">
        <v>199</v>
      </c>
      <c r="B105" s="1" t="s">
        <v>365</v>
      </c>
      <c r="C105" s="1" t="s">
        <v>366</v>
      </c>
      <c r="D105" s="1">
        <v>10.584</v>
      </c>
      <c r="E105" s="1" t="s">
        <v>367</v>
      </c>
      <c r="F105" s="1" t="s">
        <v>368</v>
      </c>
      <c r="G105" s="1">
        <v>301.29584999999997</v>
      </c>
      <c r="H105" s="2">
        <v>274524768.347767</v>
      </c>
      <c r="I105" s="1" t="s">
        <v>23</v>
      </c>
      <c r="J105" s="1">
        <v>301.34035999999998</v>
      </c>
      <c r="K105" s="1">
        <v>302.30313000000001</v>
      </c>
      <c r="L105" s="7">
        <f>G105-J105</f>
        <v>-4.4510000000002492E-2</v>
      </c>
      <c r="M105" s="1" t="s">
        <v>296</v>
      </c>
      <c r="N105" s="2">
        <v>274524768.347767</v>
      </c>
      <c r="O105" s="1">
        <v>146955847.10117599</v>
      </c>
      <c r="P105" s="1">
        <v>21863726.072482798</v>
      </c>
      <c r="Q105" s="1">
        <f>STDEV(N105:P105)</f>
        <v>126332544.43142582</v>
      </c>
      <c r="R105" s="1">
        <v>147781447.1738086</v>
      </c>
      <c r="S105" s="1">
        <v>0.18122701876547126</v>
      </c>
    </row>
    <row r="106" spans="1:19" x14ac:dyDescent="0.3">
      <c r="A106" s="1">
        <v>196</v>
      </c>
      <c r="B106" s="1" t="s">
        <v>292</v>
      </c>
      <c r="C106" s="1" t="s">
        <v>293</v>
      </c>
      <c r="D106" s="1">
        <v>11.298</v>
      </c>
      <c r="E106" s="1" t="s">
        <v>294</v>
      </c>
      <c r="F106" s="1" t="s">
        <v>295</v>
      </c>
      <c r="G106" s="1">
        <v>301.29566999999997</v>
      </c>
      <c r="H106" s="2">
        <v>726042456.72344899</v>
      </c>
      <c r="I106" s="1" t="s">
        <v>23</v>
      </c>
      <c r="J106" s="1">
        <v>301.34035999999998</v>
      </c>
      <c r="K106" s="1">
        <v>302.30293999999998</v>
      </c>
      <c r="L106" s="7">
        <f>G106-J106</f>
        <v>-4.4690000000002783E-2</v>
      </c>
      <c r="M106" s="1" t="s">
        <v>296</v>
      </c>
      <c r="N106" s="2">
        <v>334634666.79742098</v>
      </c>
      <c r="O106" s="1">
        <v>168221705.67547801</v>
      </c>
      <c r="P106" s="1">
        <v>58241300.724640399</v>
      </c>
      <c r="Q106" s="1">
        <f>STDEV(N106:P106)</f>
        <v>139153545.83550605</v>
      </c>
      <c r="R106" s="1">
        <v>187032557.7325131</v>
      </c>
      <c r="S106" s="1">
        <v>0.22936135420354398</v>
      </c>
    </row>
    <row r="107" spans="1:19" x14ac:dyDescent="0.3">
      <c r="A107" s="1">
        <v>856</v>
      </c>
      <c r="B107" s="1" t="s">
        <v>4031</v>
      </c>
      <c r="C107" s="1" t="s">
        <v>4032</v>
      </c>
      <c r="D107" s="1">
        <v>23.259</v>
      </c>
      <c r="E107" s="1" t="s">
        <v>4033</v>
      </c>
      <c r="F107" s="1" t="s">
        <v>4034</v>
      </c>
      <c r="G107" s="1">
        <v>536.82785000000001</v>
      </c>
      <c r="H107" s="2">
        <v>5395770.6120845396</v>
      </c>
      <c r="I107" s="1" t="s">
        <v>17</v>
      </c>
      <c r="J107" s="1">
        <v>536.87264000000005</v>
      </c>
      <c r="K107" s="1">
        <v>535.82057999999995</v>
      </c>
      <c r="L107" s="7">
        <f>G107-J107</f>
        <v>-4.4790000000034524E-2</v>
      </c>
      <c r="M107" s="1" t="s">
        <v>24</v>
      </c>
      <c r="N107" s="2">
        <v>532213.53466048604</v>
      </c>
      <c r="O107" s="1">
        <v>612268.66760103998</v>
      </c>
      <c r="P107" s="1">
        <v>635427.45637870103</v>
      </c>
      <c r="Q107" s="1">
        <f>STDEV(N107:P107)</f>
        <v>54157.590179388979</v>
      </c>
      <c r="R107" s="1">
        <v>593303.21954674239</v>
      </c>
      <c r="S107" s="1">
        <v>7.2757829726726537E-4</v>
      </c>
    </row>
    <row r="108" spans="1:19" x14ac:dyDescent="0.3">
      <c r="A108" s="1">
        <v>67</v>
      </c>
      <c r="B108" s="1" t="s">
        <v>2671</v>
      </c>
      <c r="C108" s="1" t="s">
        <v>2672</v>
      </c>
      <c r="D108" s="1">
        <v>3.39</v>
      </c>
      <c r="E108" s="1" t="s">
        <v>2673</v>
      </c>
      <c r="F108" s="1" t="s">
        <v>2674</v>
      </c>
      <c r="G108" s="1">
        <v>220.18129999999999</v>
      </c>
      <c r="H108" s="2">
        <v>5179746.4081316404</v>
      </c>
      <c r="I108" s="1" t="s">
        <v>156</v>
      </c>
      <c r="J108" s="1">
        <v>220.22612000000001</v>
      </c>
      <c r="K108" s="1">
        <v>203.17812000000001</v>
      </c>
      <c r="L108" s="7">
        <f>G108-J108</f>
        <v>-4.4820000000015625E-2</v>
      </c>
      <c r="M108" s="1" t="s">
        <v>24</v>
      </c>
      <c r="N108" s="2">
        <v>5179746.4081316404</v>
      </c>
      <c r="O108" s="1">
        <v>1465743.2924148201</v>
      </c>
      <c r="P108" s="1">
        <v>1743537.18079425</v>
      </c>
      <c r="Q108" s="1">
        <f>STDEV(N108:P108)</f>
        <v>2068756.5686507532</v>
      </c>
      <c r="R108" s="1">
        <v>2796342.293780237</v>
      </c>
      <c r="S108" s="1">
        <v>3.4292043219306596E-3</v>
      </c>
    </row>
    <row r="109" spans="1:19" x14ac:dyDescent="0.3">
      <c r="A109" s="1">
        <v>695</v>
      </c>
      <c r="B109" s="1" t="s">
        <v>2596</v>
      </c>
      <c r="C109" s="1" t="s">
        <v>2597</v>
      </c>
      <c r="D109" s="1">
        <v>12.500999999999999</v>
      </c>
      <c r="E109" s="1" t="s">
        <v>2598</v>
      </c>
      <c r="F109" s="1" t="s">
        <v>2599</v>
      </c>
      <c r="G109" s="1">
        <v>956.63162999999997</v>
      </c>
      <c r="H109" s="2">
        <v>4655769.49066226</v>
      </c>
      <c r="I109" s="1" t="s">
        <v>290</v>
      </c>
      <c r="J109" s="1">
        <v>956.67657999999994</v>
      </c>
      <c r="K109" s="1">
        <v>479.32308999999998</v>
      </c>
      <c r="L109" s="7">
        <f>G109-J109</f>
        <v>-4.4949999999971624E-2</v>
      </c>
      <c r="M109" s="1" t="s">
        <v>2600</v>
      </c>
      <c r="N109" s="2">
        <v>1180045.0131037501</v>
      </c>
      <c r="O109" s="1">
        <v>4140722.50637706</v>
      </c>
      <c r="P109" s="1">
        <v>3483273.9314022502</v>
      </c>
      <c r="Q109" s="1">
        <f>STDEV(N109:P109)</f>
        <v>1554708.6167509551</v>
      </c>
      <c r="R109" s="1">
        <v>2934680.4836276867</v>
      </c>
      <c r="S109" s="1">
        <v>3.5988509061732617E-3</v>
      </c>
    </row>
    <row r="110" spans="1:19" x14ac:dyDescent="0.3">
      <c r="A110" s="1">
        <v>22</v>
      </c>
      <c r="B110" s="1" t="s">
        <v>83</v>
      </c>
      <c r="C110" s="1" t="s">
        <v>84</v>
      </c>
      <c r="D110" s="1">
        <v>13.682</v>
      </c>
      <c r="E110" s="1" t="s">
        <v>85</v>
      </c>
      <c r="F110" s="1" t="s">
        <v>86</v>
      </c>
      <c r="G110" s="1">
        <v>418.26620000000003</v>
      </c>
      <c r="H110" s="2">
        <v>1699030432.1189301</v>
      </c>
      <c r="I110" s="1" t="s">
        <v>23</v>
      </c>
      <c r="J110" s="1">
        <v>418.31115999999997</v>
      </c>
      <c r="K110" s="1">
        <v>419.27348000000001</v>
      </c>
      <c r="L110" s="7">
        <f>G110-J110</f>
        <v>-4.4959999999946376E-2</v>
      </c>
      <c r="M110" s="1" t="s">
        <v>87</v>
      </c>
      <c r="N110" s="2">
        <v>748113659.56518805</v>
      </c>
      <c r="O110" s="1">
        <v>1152237916.2153599</v>
      </c>
      <c r="P110" s="1">
        <v>1574063969.082</v>
      </c>
      <c r="Q110" s="1">
        <f>STDEV(N110:P110)</f>
        <v>413006769.00849581</v>
      </c>
      <c r="R110" s="1">
        <v>1158138514.9541826</v>
      </c>
      <c r="S110" s="1">
        <v>1.4202458725131153</v>
      </c>
    </row>
    <row r="111" spans="1:19" x14ac:dyDescent="0.3">
      <c r="A111" s="1">
        <v>659</v>
      </c>
      <c r="B111" s="1" t="s">
        <v>913</v>
      </c>
      <c r="C111" s="1" t="s">
        <v>914</v>
      </c>
      <c r="D111" s="1">
        <v>11.304</v>
      </c>
      <c r="E111" s="1" t="s">
        <v>915</v>
      </c>
      <c r="F111" s="1" t="s">
        <v>916</v>
      </c>
      <c r="G111" s="1">
        <v>286.19096999999999</v>
      </c>
      <c r="H111" s="2">
        <v>57375302.829901397</v>
      </c>
      <c r="I111" s="1" t="s">
        <v>23</v>
      </c>
      <c r="J111" s="1">
        <v>286.23630000000003</v>
      </c>
      <c r="K111" s="1">
        <v>287.19824</v>
      </c>
      <c r="L111" s="7">
        <f>G111-J111</f>
        <v>-4.5330000000035398E-2</v>
      </c>
      <c r="M111" s="1" t="s">
        <v>917</v>
      </c>
      <c r="N111" s="2">
        <v>57375302.829901397</v>
      </c>
      <c r="O111" s="1">
        <v>50053863.566458397</v>
      </c>
      <c r="P111" s="1">
        <v>32775657.108610898</v>
      </c>
      <c r="Q111" s="1">
        <f>STDEV(N111:P111)</f>
        <v>12631194.591838177</v>
      </c>
      <c r="R111" s="1">
        <v>46734941.168323569</v>
      </c>
      <c r="S111" s="1">
        <v>5.7311890105891786E-2</v>
      </c>
    </row>
    <row r="112" spans="1:19" x14ac:dyDescent="0.3">
      <c r="A112" s="1">
        <v>1016</v>
      </c>
      <c r="B112" s="1" t="s">
        <v>3723</v>
      </c>
      <c r="C112" s="1" t="s">
        <v>3724</v>
      </c>
      <c r="D112" s="1">
        <v>7.165</v>
      </c>
      <c r="E112" s="1" t="s">
        <v>3725</v>
      </c>
      <c r="F112" s="1" t="s">
        <v>3726</v>
      </c>
      <c r="G112" s="1">
        <v>215.16598999999999</v>
      </c>
      <c r="H112" s="2">
        <v>4380842.5871371403</v>
      </c>
      <c r="I112" s="1" t="s">
        <v>23</v>
      </c>
      <c r="J112" s="1">
        <v>215.21136000000001</v>
      </c>
      <c r="K112" s="1">
        <v>216.17327</v>
      </c>
      <c r="L112" s="7">
        <f>G112-J112</f>
        <v>-4.5370000000019672E-2</v>
      </c>
      <c r="M112" s="1" t="s">
        <v>24</v>
      </c>
      <c r="N112" s="2">
        <v>649499.38661820197</v>
      </c>
      <c r="O112" s="1">
        <v>866325.34081464994</v>
      </c>
      <c r="P112" s="1">
        <v>1029464.7204843001</v>
      </c>
      <c r="Q112" s="1">
        <f>STDEV(N112:P112)</f>
        <v>190613.74843391724</v>
      </c>
      <c r="R112" s="1">
        <v>848429.81597238407</v>
      </c>
      <c r="S112" s="1">
        <v>1.0404445830035373E-3</v>
      </c>
    </row>
    <row r="113" spans="1:19" x14ac:dyDescent="0.3">
      <c r="A113" s="1">
        <v>529</v>
      </c>
      <c r="B113" s="1" t="s">
        <v>2609</v>
      </c>
      <c r="C113" s="1" t="s">
        <v>2610</v>
      </c>
      <c r="D113" s="1">
        <v>7.5910000000000002</v>
      </c>
      <c r="E113" s="1" t="s">
        <v>2611</v>
      </c>
      <c r="F113" s="1" t="s">
        <v>2612</v>
      </c>
      <c r="G113" s="1">
        <v>255.19976</v>
      </c>
      <c r="H113" s="2">
        <v>84949080.640239701</v>
      </c>
      <c r="I113" s="1" t="s">
        <v>23</v>
      </c>
      <c r="J113" s="1">
        <v>255.24544</v>
      </c>
      <c r="K113" s="1">
        <v>256.20702999999997</v>
      </c>
      <c r="L113" s="7">
        <f>G113-J113</f>
        <v>-4.5680000000004384E-2</v>
      </c>
      <c r="M113" s="1" t="s">
        <v>24</v>
      </c>
      <c r="N113" s="2">
        <v>2299467.3134036502</v>
      </c>
      <c r="O113" s="1">
        <v>3127231.6414214899</v>
      </c>
      <c r="P113" s="1">
        <v>3334745.6149052</v>
      </c>
      <c r="Q113" s="1">
        <f>STDEV(N113:P113)</f>
        <v>547731.22871985042</v>
      </c>
      <c r="R113" s="1">
        <v>2920481.5232434473</v>
      </c>
      <c r="S113" s="1">
        <v>3.5814384683523059E-3</v>
      </c>
    </row>
    <row r="114" spans="1:19" x14ac:dyDescent="0.3">
      <c r="A114" s="1">
        <v>459</v>
      </c>
      <c r="B114" s="1" t="s">
        <v>59</v>
      </c>
      <c r="C114" s="1" t="s">
        <v>60</v>
      </c>
      <c r="D114" s="1">
        <v>15.375</v>
      </c>
      <c r="E114" s="1" t="s">
        <v>61</v>
      </c>
      <c r="F114" s="1" t="s">
        <v>62</v>
      </c>
      <c r="G114" s="1">
        <v>290.22230999999999</v>
      </c>
      <c r="H114" s="2">
        <v>2097630138.3301101</v>
      </c>
      <c r="I114" s="1" t="s">
        <v>23</v>
      </c>
      <c r="J114" s="1">
        <v>290.26805999999999</v>
      </c>
      <c r="K114" s="1">
        <v>291.22957000000002</v>
      </c>
      <c r="L114" s="7">
        <f>G114-J114</f>
        <v>-4.5749999999998181E-2</v>
      </c>
      <c r="M114" s="1" t="s">
        <v>63</v>
      </c>
      <c r="N114" s="2">
        <v>2097630138.3301101</v>
      </c>
      <c r="O114" s="1">
        <v>1836890958.4461</v>
      </c>
      <c r="P114" s="1">
        <v>856745635.52581596</v>
      </c>
      <c r="Q114" s="1">
        <f>STDEV(N114:P114)</f>
        <v>654276206.1072979</v>
      </c>
      <c r="R114" s="1">
        <v>1597088910.7673419</v>
      </c>
      <c r="S114" s="1">
        <v>1.9585385549875434</v>
      </c>
    </row>
    <row r="115" spans="1:19" x14ac:dyDescent="0.3">
      <c r="A115" s="1">
        <v>496</v>
      </c>
      <c r="B115" s="1" t="s">
        <v>1356</v>
      </c>
      <c r="C115" s="1" t="s">
        <v>1357</v>
      </c>
      <c r="D115" s="1">
        <v>0.129</v>
      </c>
      <c r="E115" s="1" t="s">
        <v>1358</v>
      </c>
      <c r="F115" s="1" t="s">
        <v>1359</v>
      </c>
      <c r="G115" s="1">
        <v>290.22230999999999</v>
      </c>
      <c r="H115" s="2">
        <v>38062499.4619902</v>
      </c>
      <c r="I115" s="1" t="s">
        <v>23</v>
      </c>
      <c r="J115" s="1">
        <v>290.26805999999999</v>
      </c>
      <c r="K115" s="1">
        <v>291.22958</v>
      </c>
      <c r="L115" s="7">
        <f>G115-J115</f>
        <v>-4.5749999999998181E-2</v>
      </c>
      <c r="M115" s="1" t="s">
        <v>63</v>
      </c>
      <c r="N115" s="2">
        <v>600646.24749376101</v>
      </c>
      <c r="O115" s="1">
        <v>20914378.8030218</v>
      </c>
      <c r="P115" s="1">
        <v>38062499.4619902</v>
      </c>
      <c r="Q115" s="1">
        <f>STDEV(N115:P115)</f>
        <v>18753205.142661769</v>
      </c>
      <c r="R115" s="1">
        <v>19859174.837501921</v>
      </c>
      <c r="S115" s="1">
        <v>2.435365954096971E-2</v>
      </c>
    </row>
    <row r="116" spans="1:19" x14ac:dyDescent="0.3">
      <c r="A116" s="1">
        <v>455</v>
      </c>
      <c r="B116" s="1" t="s">
        <v>171</v>
      </c>
      <c r="C116" s="1" t="s">
        <v>172</v>
      </c>
      <c r="D116" s="1">
        <v>13.345000000000001</v>
      </c>
      <c r="E116" s="1" t="s">
        <v>173</v>
      </c>
      <c r="F116" s="1" t="s">
        <v>174</v>
      </c>
      <c r="G116" s="1">
        <v>290.22224999999997</v>
      </c>
      <c r="H116" s="2">
        <v>1129060272.7860501</v>
      </c>
      <c r="I116" s="1" t="s">
        <v>23</v>
      </c>
      <c r="J116" s="1">
        <v>290.26805999999999</v>
      </c>
      <c r="K116" s="1">
        <v>291.22951999999998</v>
      </c>
      <c r="L116" s="7">
        <f>G116-J116</f>
        <v>-4.5810000000017226E-2</v>
      </c>
      <c r="M116" s="1" t="s">
        <v>175</v>
      </c>
      <c r="N116" s="2">
        <v>517717669.51108903</v>
      </c>
      <c r="O116" s="1">
        <v>484446465.789644</v>
      </c>
      <c r="P116" s="1">
        <v>219952671.60234299</v>
      </c>
      <c r="Q116" s="1">
        <f>STDEV(N116:P116)</f>
        <v>163160419.08719936</v>
      </c>
      <c r="R116" s="1">
        <v>407372268.96769208</v>
      </c>
      <c r="S116" s="1">
        <v>0.49956786352153759</v>
      </c>
    </row>
    <row r="117" spans="1:19" x14ac:dyDescent="0.3">
      <c r="A117" s="1">
        <v>633</v>
      </c>
      <c r="B117" s="1" t="s">
        <v>696</v>
      </c>
      <c r="C117" s="1" t="s">
        <v>697</v>
      </c>
      <c r="D117" s="1">
        <v>11.303000000000001</v>
      </c>
      <c r="E117" s="1" t="s">
        <v>698</v>
      </c>
      <c r="F117" s="1" t="s">
        <v>699</v>
      </c>
      <c r="G117" s="1">
        <v>288.20618999999999</v>
      </c>
      <c r="H117" s="2">
        <v>83459837.047931299</v>
      </c>
      <c r="I117" s="1" t="s">
        <v>23</v>
      </c>
      <c r="J117" s="1">
        <v>288.25218000000001</v>
      </c>
      <c r="K117" s="1">
        <v>289.21346999999997</v>
      </c>
      <c r="L117" s="7">
        <f>G117-J117</f>
        <v>-4.5990000000017517E-2</v>
      </c>
      <c r="M117" s="1" t="s">
        <v>700</v>
      </c>
      <c r="N117" s="2">
        <v>51962445.366388597</v>
      </c>
      <c r="O117" s="1">
        <v>66675283.533541404</v>
      </c>
      <c r="P117" s="1">
        <v>83459837.047931299</v>
      </c>
      <c r="Q117" s="1">
        <f>STDEV(N117:P117)</f>
        <v>15760047.199330559</v>
      </c>
      <c r="R117" s="1">
        <v>67365855.315953776</v>
      </c>
      <c r="S117" s="1">
        <v>8.2611947297672017E-2</v>
      </c>
    </row>
    <row r="118" spans="1:19" x14ac:dyDescent="0.3">
      <c r="A118" s="1">
        <v>926</v>
      </c>
      <c r="B118" s="1" t="s">
        <v>3928</v>
      </c>
      <c r="C118" s="1" t="s">
        <v>3929</v>
      </c>
      <c r="D118" s="1">
        <v>14.635</v>
      </c>
      <c r="E118" s="1" t="s">
        <v>3930</v>
      </c>
      <c r="F118" s="1" t="s">
        <v>3931</v>
      </c>
      <c r="G118" s="1">
        <v>347.31581</v>
      </c>
      <c r="H118" s="2">
        <v>31016750.929304302</v>
      </c>
      <c r="I118" s="1" t="s">
        <v>23</v>
      </c>
      <c r="J118" s="1">
        <v>347.36243999999999</v>
      </c>
      <c r="K118" s="1">
        <v>348.32308999999998</v>
      </c>
      <c r="L118" s="7">
        <f>G118-J118</f>
        <v>-4.6629999999993288E-2</v>
      </c>
      <c r="M118" s="1" t="s">
        <v>24</v>
      </c>
      <c r="N118" s="2">
        <v>657832.07524559996</v>
      </c>
      <c r="O118" s="1">
        <v>739622.60740954103</v>
      </c>
      <c r="P118" s="1">
        <v>556586.67735030898</v>
      </c>
      <c r="Q118" s="1">
        <f>STDEV(N118:P118)</f>
        <v>91690.124367607685</v>
      </c>
      <c r="R118" s="1">
        <v>651347.12000181666</v>
      </c>
      <c r="S118" s="1">
        <v>7.987585654143294E-4</v>
      </c>
    </row>
    <row r="119" spans="1:19" x14ac:dyDescent="0.3">
      <c r="A119" s="1">
        <v>698</v>
      </c>
      <c r="B119" s="1" t="s">
        <v>4204</v>
      </c>
      <c r="C119" s="1" t="s">
        <v>4205</v>
      </c>
      <c r="D119" s="1">
        <v>10.403</v>
      </c>
      <c r="E119" s="1" t="s">
        <v>4206</v>
      </c>
      <c r="F119" s="1" t="s">
        <v>4207</v>
      </c>
      <c r="G119" s="1">
        <v>634.40418999999997</v>
      </c>
      <c r="H119" s="2">
        <v>18675382.470814899</v>
      </c>
      <c r="I119" s="1" t="s">
        <v>17</v>
      </c>
      <c r="J119" s="1">
        <v>634.45277999999996</v>
      </c>
      <c r="K119" s="1">
        <v>633.39691000000005</v>
      </c>
      <c r="L119" s="7">
        <f>G119-J119</f>
        <v>-4.8589999999990141E-2</v>
      </c>
      <c r="M119" s="1" t="s">
        <v>4208</v>
      </c>
      <c r="N119" s="2">
        <v>230665.098132702</v>
      </c>
      <c r="O119" s="1">
        <v>507923.07455072203</v>
      </c>
      <c r="P119" s="1">
        <v>496865.386328416</v>
      </c>
      <c r="Q119" s="1">
        <f>STDEV(N119:P119)</f>
        <v>156980.28081668858</v>
      </c>
      <c r="R119" s="1">
        <v>411817.85300394666</v>
      </c>
      <c r="S119" s="1">
        <v>5.0501956234415258E-4</v>
      </c>
    </row>
    <row r="120" spans="1:19" x14ac:dyDescent="0.3">
      <c r="A120" s="1">
        <v>105</v>
      </c>
      <c r="B120" s="1" t="s">
        <v>1069</v>
      </c>
      <c r="C120" s="1" t="s">
        <v>1070</v>
      </c>
      <c r="D120" s="1">
        <v>11.304</v>
      </c>
      <c r="E120" s="1" t="s">
        <v>1071</v>
      </c>
      <c r="F120" s="1" t="s">
        <v>1072</v>
      </c>
      <c r="G120" s="1">
        <v>236.17581999999999</v>
      </c>
      <c r="H120" s="2">
        <v>59105656.764109701</v>
      </c>
      <c r="I120" s="1" t="s">
        <v>23</v>
      </c>
      <c r="J120" s="1">
        <v>236.22551999999999</v>
      </c>
      <c r="K120" s="1">
        <v>237.1831</v>
      </c>
      <c r="L120" s="7">
        <f>G120-J120</f>
        <v>-4.970000000000141E-2</v>
      </c>
      <c r="M120" s="1" t="s">
        <v>24</v>
      </c>
      <c r="N120" s="2">
        <v>59105656.764109701</v>
      </c>
      <c r="O120" s="1">
        <v>38173236.388681799</v>
      </c>
      <c r="P120" s="1">
        <v>15318923.825966099</v>
      </c>
      <c r="Q120" s="1">
        <f>STDEV(N120:P120)</f>
        <v>21900394.999802485</v>
      </c>
      <c r="R120" s="1">
        <v>37532605.659585871</v>
      </c>
      <c r="S120" s="1">
        <v>4.6026902295705156E-2</v>
      </c>
    </row>
    <row r="121" spans="1:19" x14ac:dyDescent="0.3">
      <c r="A121" s="1">
        <v>909</v>
      </c>
      <c r="B121" s="1" t="s">
        <v>1183</v>
      </c>
      <c r="C121" s="1" t="s">
        <v>1184</v>
      </c>
      <c r="D121" s="1">
        <v>0.32100000000000001</v>
      </c>
      <c r="E121" s="1"/>
      <c r="F121" s="1" t="s">
        <v>1185</v>
      </c>
      <c r="G121" s="1">
        <v>306.21746999999999</v>
      </c>
      <c r="H121" s="2">
        <v>52727638.3647568</v>
      </c>
      <c r="I121" s="1" t="s">
        <v>156</v>
      </c>
      <c r="J121" s="1">
        <v>306.26746000000003</v>
      </c>
      <c r="K121" s="1">
        <v>289.21417000000002</v>
      </c>
      <c r="L121" s="7">
        <f>G121-J121</f>
        <v>-4.9990000000036616E-2</v>
      </c>
      <c r="M121" s="1" t="s">
        <v>1186</v>
      </c>
      <c r="N121" s="2">
        <v>4879998.8653903399</v>
      </c>
      <c r="O121" s="1">
        <v>32846553.703429099</v>
      </c>
      <c r="P121" s="1">
        <v>52727638.3647568</v>
      </c>
      <c r="Q121" s="1">
        <f>STDEV(N121:P121)</f>
        <v>24037409.464143049</v>
      </c>
      <c r="R121" s="1">
        <v>30151396.977858748</v>
      </c>
      <c r="S121" s="1">
        <v>3.697519472444314E-2</v>
      </c>
    </row>
    <row r="122" spans="1:19" x14ac:dyDescent="0.3">
      <c r="A122" s="1">
        <v>102</v>
      </c>
      <c r="B122" s="1" t="s">
        <v>605</v>
      </c>
      <c r="C122" s="1" t="s">
        <v>606</v>
      </c>
      <c r="D122" s="1">
        <v>0.09</v>
      </c>
      <c r="E122" s="1" t="s">
        <v>607</v>
      </c>
      <c r="F122" s="1" t="s">
        <v>608</v>
      </c>
      <c r="G122" s="1">
        <v>182.16576000000001</v>
      </c>
      <c r="H122" s="2">
        <v>111777749.77061699</v>
      </c>
      <c r="I122" s="1" t="s">
        <v>23</v>
      </c>
      <c r="J122" s="1">
        <v>182.22120000000001</v>
      </c>
      <c r="K122" s="1">
        <v>183.17307</v>
      </c>
      <c r="L122" s="7">
        <f>G122-J122</f>
        <v>-5.5440000000004375E-2</v>
      </c>
      <c r="M122" s="1" t="s">
        <v>24</v>
      </c>
      <c r="N122" s="2">
        <v>34417460.689601198</v>
      </c>
      <c r="O122" s="1">
        <v>104295403.16549</v>
      </c>
      <c r="P122" s="1">
        <v>111777749.77061699</v>
      </c>
      <c r="Q122" s="1">
        <f>STDEV(N122:P122)</f>
        <v>42668346.351210609</v>
      </c>
      <c r="R122" s="1">
        <v>83496871.208569407</v>
      </c>
      <c r="S122" s="1">
        <v>0.10239369917373077</v>
      </c>
    </row>
    <row r="123" spans="1:19" x14ac:dyDescent="0.3">
      <c r="A123" s="1">
        <v>704</v>
      </c>
      <c r="B123" s="1" t="s">
        <v>2638</v>
      </c>
      <c r="C123" s="1" t="s">
        <v>2639</v>
      </c>
      <c r="D123" s="1">
        <v>12.356</v>
      </c>
      <c r="E123" s="1" t="s">
        <v>2640</v>
      </c>
      <c r="F123" s="1" t="s">
        <v>2641</v>
      </c>
      <c r="G123" s="1">
        <v>954.60433999999998</v>
      </c>
      <c r="H123" s="2">
        <v>6519061.0725412397</v>
      </c>
      <c r="I123" s="1" t="s">
        <v>290</v>
      </c>
      <c r="J123" s="1">
        <v>954.66070000000002</v>
      </c>
      <c r="K123" s="1">
        <v>478.30945000000003</v>
      </c>
      <c r="L123" s="7">
        <f>G123-J123</f>
        <v>-5.63600000000406E-2</v>
      </c>
      <c r="M123" s="1" t="s">
        <v>24</v>
      </c>
      <c r="N123" s="2">
        <v>6519061.0725412397</v>
      </c>
      <c r="O123" s="1">
        <v>1423992.4476930101</v>
      </c>
      <c r="P123" s="1">
        <v>658692.07025981403</v>
      </c>
      <c r="Q123" s="1">
        <f>STDEV(N123:P123)</f>
        <v>3185627.45788312</v>
      </c>
      <c r="R123" s="1">
        <v>2867248.5301646874</v>
      </c>
      <c r="S123" s="1">
        <v>3.5161579015415053E-3</v>
      </c>
    </row>
    <row r="124" spans="1:19" x14ac:dyDescent="0.3">
      <c r="A124" s="1">
        <v>625</v>
      </c>
      <c r="B124" s="1" t="s">
        <v>850</v>
      </c>
      <c r="C124" s="1" t="s">
        <v>851</v>
      </c>
      <c r="D124" s="1">
        <v>0.11600000000000001</v>
      </c>
      <c r="E124" s="1" t="s">
        <v>852</v>
      </c>
      <c r="F124" s="1" t="s">
        <v>853</v>
      </c>
      <c r="G124" s="1">
        <v>300.20616000000001</v>
      </c>
      <c r="H124" s="2">
        <v>91874542.455150694</v>
      </c>
      <c r="I124" s="1" t="s">
        <v>344</v>
      </c>
      <c r="J124" s="1">
        <v>300.26288</v>
      </c>
      <c r="K124" s="1">
        <v>333.23962</v>
      </c>
      <c r="L124" s="7">
        <f>G124-J124</f>
        <v>-5.6719999999984339E-2</v>
      </c>
      <c r="M124" s="1" t="s">
        <v>854</v>
      </c>
      <c r="N124" s="2">
        <v>1677003.76066943</v>
      </c>
      <c r="O124" s="1">
        <v>61982340.018671602</v>
      </c>
      <c r="P124" s="1">
        <v>91874542.455150694</v>
      </c>
      <c r="Q124" s="1">
        <f>STDEV(N124:P124)</f>
        <v>45945390.291512743</v>
      </c>
      <c r="R124" s="1">
        <v>51844628.744830579</v>
      </c>
      <c r="S124" s="1">
        <v>6.3577990919102989E-2</v>
      </c>
    </row>
    <row r="125" spans="1:19" x14ac:dyDescent="0.3">
      <c r="A125" s="1">
        <v>497</v>
      </c>
      <c r="B125" s="1" t="s">
        <v>2348</v>
      </c>
      <c r="C125" s="1" t="s">
        <v>2349</v>
      </c>
      <c r="D125" s="1">
        <v>10.775</v>
      </c>
      <c r="E125" s="1" t="s">
        <v>2350</v>
      </c>
      <c r="F125" s="1" t="s">
        <v>2351</v>
      </c>
      <c r="G125" s="1">
        <v>200.1764</v>
      </c>
      <c r="H125" s="2">
        <v>11291174.2703698</v>
      </c>
      <c r="I125" s="1" t="s">
        <v>23</v>
      </c>
      <c r="J125" s="1">
        <v>200.23318</v>
      </c>
      <c r="K125" s="1">
        <v>201.18367000000001</v>
      </c>
      <c r="L125" s="7">
        <f>G125-J125</f>
        <v>-5.6780000000003383E-2</v>
      </c>
      <c r="M125" s="1" t="s">
        <v>24</v>
      </c>
      <c r="N125" s="2">
        <v>355649.02128985</v>
      </c>
      <c r="O125" s="1">
        <v>11291174.2703698</v>
      </c>
      <c r="P125" s="1">
        <v>1982876.5560856999</v>
      </c>
      <c r="Q125" s="1">
        <f>STDEV(N125:P125)</f>
        <v>5900254.0660128845</v>
      </c>
      <c r="R125" s="1">
        <v>4543233.2825817829</v>
      </c>
      <c r="S125" s="1">
        <v>5.5714478312693522E-3</v>
      </c>
    </row>
    <row r="126" spans="1:19" x14ac:dyDescent="0.3">
      <c r="A126" s="1">
        <v>551</v>
      </c>
      <c r="B126" s="1" t="s">
        <v>4222</v>
      </c>
      <c r="C126" s="1" t="s">
        <v>4223</v>
      </c>
      <c r="D126" s="1">
        <v>7.3109999999999999</v>
      </c>
      <c r="E126" s="1" t="s">
        <v>4224</v>
      </c>
      <c r="F126" s="1" t="s">
        <v>4225</v>
      </c>
      <c r="G126" s="1">
        <v>286.17660999999998</v>
      </c>
      <c r="H126" s="2">
        <v>2613450.39539622</v>
      </c>
      <c r="I126" s="1" t="s">
        <v>17</v>
      </c>
      <c r="J126" s="1">
        <v>286.23630000000003</v>
      </c>
      <c r="K126" s="1">
        <v>285.16933</v>
      </c>
      <c r="L126" s="7">
        <f>G126-J126</f>
        <v>-5.9690000000045984E-2</v>
      </c>
      <c r="M126" s="1" t="s">
        <v>24</v>
      </c>
      <c r="N126" s="2">
        <v>260213.935188609</v>
      </c>
      <c r="O126" s="1">
        <v>346473.48299159203</v>
      </c>
      <c r="P126" s="1">
        <v>601789.494786361</v>
      </c>
      <c r="Q126" s="1">
        <f>STDEV(N126:P126)</f>
        <v>177623.59001574057</v>
      </c>
      <c r="R126" s="1">
        <v>402825.63765552064</v>
      </c>
      <c r="S126" s="1">
        <v>4.9399224862610707E-4</v>
      </c>
    </row>
    <row r="127" spans="1:19" x14ac:dyDescent="0.3">
      <c r="A127" s="1">
        <v>553</v>
      </c>
      <c r="B127" s="1" t="s">
        <v>4229</v>
      </c>
      <c r="C127" s="1" t="s">
        <v>4230</v>
      </c>
      <c r="D127" s="1">
        <v>7.9560000000000004</v>
      </c>
      <c r="E127" s="1" t="s">
        <v>4231</v>
      </c>
      <c r="F127" s="1" t="s">
        <v>4232</v>
      </c>
      <c r="G127" s="1">
        <v>288.19193999999999</v>
      </c>
      <c r="H127" s="2">
        <v>3496311.1857033302</v>
      </c>
      <c r="I127" s="1" t="s">
        <v>17</v>
      </c>
      <c r="J127" s="1">
        <v>288.25218000000001</v>
      </c>
      <c r="K127" s="1">
        <v>287.18466999999998</v>
      </c>
      <c r="L127" s="7">
        <f>G127-J127</f>
        <v>-6.024000000002161E-2</v>
      </c>
      <c r="M127" s="1" t="s">
        <v>24</v>
      </c>
      <c r="N127" s="2">
        <v>508547.86546516902</v>
      </c>
      <c r="O127" s="1">
        <v>420701.36950045399</v>
      </c>
      <c r="P127" s="1">
        <v>217803.64226214899</v>
      </c>
      <c r="Q127" s="1">
        <f>STDEV(N127:P127)</f>
        <v>149117.79342613451</v>
      </c>
      <c r="R127" s="1">
        <v>382350.95907592401</v>
      </c>
      <c r="S127" s="1">
        <v>4.6888378589196226E-4</v>
      </c>
    </row>
    <row r="128" spans="1:19" x14ac:dyDescent="0.3">
      <c r="A128" s="1">
        <v>923</v>
      </c>
      <c r="B128" s="1" t="s">
        <v>940</v>
      </c>
      <c r="C128" s="1" t="s">
        <v>941</v>
      </c>
      <c r="D128" s="1">
        <v>10.42</v>
      </c>
      <c r="E128" s="1" t="s">
        <v>942</v>
      </c>
      <c r="F128" s="1" t="s">
        <v>943</v>
      </c>
      <c r="G128" s="1">
        <v>271.24919</v>
      </c>
      <c r="H128" s="2">
        <v>86427368.163314894</v>
      </c>
      <c r="I128" s="1" t="s">
        <v>23</v>
      </c>
      <c r="J128" s="1">
        <v>271.31108</v>
      </c>
      <c r="K128" s="1">
        <v>272.25646999999998</v>
      </c>
      <c r="L128" s="7">
        <f>G128-J128</f>
        <v>-6.189000000000533E-2</v>
      </c>
      <c r="M128" s="1" t="s">
        <v>944</v>
      </c>
      <c r="N128" s="2">
        <v>86427368.163314894</v>
      </c>
      <c r="O128" s="1">
        <v>36594476.1216112</v>
      </c>
      <c r="P128" s="1">
        <v>14211105.664880401</v>
      </c>
      <c r="Q128" s="1">
        <f>STDEV(N128:P128)</f>
        <v>36967375.191931382</v>
      </c>
      <c r="R128" s="1">
        <v>45744316.649935491</v>
      </c>
      <c r="S128" s="1">
        <v>5.6097069628648077E-2</v>
      </c>
    </row>
    <row r="129" spans="1:19" x14ac:dyDescent="0.3">
      <c r="A129" s="1">
        <v>653</v>
      </c>
      <c r="B129" s="1" t="s">
        <v>2098</v>
      </c>
      <c r="C129" s="1" t="s">
        <v>2099</v>
      </c>
      <c r="D129" s="1">
        <v>9.5980000000000008</v>
      </c>
      <c r="E129" s="1" t="s">
        <v>2100</v>
      </c>
      <c r="F129" s="1" t="s">
        <v>2101</v>
      </c>
      <c r="G129" s="1">
        <v>270.21766000000002</v>
      </c>
      <c r="H129" s="2">
        <v>20715326.5298113</v>
      </c>
      <c r="I129" s="1" t="s">
        <v>156</v>
      </c>
      <c r="J129" s="1">
        <v>270.27996000000002</v>
      </c>
      <c r="K129" s="1">
        <v>253.21439000000001</v>
      </c>
      <c r="L129" s="7">
        <f>G129-J129</f>
        <v>-6.2299999999993361E-2</v>
      </c>
      <c r="M129" s="1" t="s">
        <v>2102</v>
      </c>
      <c r="N129" s="2">
        <v>7798622.8242323902</v>
      </c>
      <c r="O129" s="1">
        <v>6886762.0598542504</v>
      </c>
      <c r="P129" s="1">
        <v>4616362.5000445098</v>
      </c>
      <c r="Q129" s="1">
        <f>STDEV(N129:P129)</f>
        <v>1638748.759760374</v>
      </c>
      <c r="R129" s="1">
        <v>6433915.7947103828</v>
      </c>
      <c r="S129" s="1">
        <v>7.8900254447507607E-3</v>
      </c>
    </row>
    <row r="130" spans="1:19" x14ac:dyDescent="0.3">
      <c r="A130" s="1">
        <v>632</v>
      </c>
      <c r="B130" s="1" t="s">
        <v>1675</v>
      </c>
      <c r="C130" s="1" t="s">
        <v>1676</v>
      </c>
      <c r="D130" s="1">
        <v>9.7240000000000002</v>
      </c>
      <c r="E130" s="1" t="s">
        <v>1677</v>
      </c>
      <c r="F130" s="1" t="s">
        <v>1678</v>
      </c>
      <c r="G130" s="1">
        <v>268.20175</v>
      </c>
      <c r="H130" s="2">
        <v>12004255.5152668</v>
      </c>
      <c r="I130" s="1" t="s">
        <v>1154</v>
      </c>
      <c r="J130" s="1">
        <v>268.26407999999998</v>
      </c>
      <c r="K130" s="1">
        <v>310.23557</v>
      </c>
      <c r="L130" s="7">
        <f>G130-J130</f>
        <v>-6.2329999999974461E-2</v>
      </c>
      <c r="M130" s="1" t="s">
        <v>24</v>
      </c>
      <c r="N130" s="2">
        <v>11542011.3381481</v>
      </c>
      <c r="O130" s="1">
        <v>12004255.5152668</v>
      </c>
      <c r="P130" s="1">
        <v>10753203.5545545</v>
      </c>
      <c r="Q130" s="1">
        <f>STDEV(N130:P130)</f>
        <v>632589.70472443465</v>
      </c>
      <c r="R130" s="1">
        <v>11433156.802656466</v>
      </c>
      <c r="S130" s="1">
        <v>1.4020683665295842E-2</v>
      </c>
    </row>
    <row r="131" spans="1:19" x14ac:dyDescent="0.3">
      <c r="A131" s="1">
        <v>1013</v>
      </c>
      <c r="B131" s="1" t="s">
        <v>2431</v>
      </c>
      <c r="C131" s="1" t="s">
        <v>2432</v>
      </c>
      <c r="D131" s="1">
        <v>11.27</v>
      </c>
      <c r="E131" s="1"/>
      <c r="F131" s="1" t="s">
        <v>2433</v>
      </c>
      <c r="G131" s="1">
        <v>203.17451</v>
      </c>
      <c r="H131" s="2">
        <v>9713376.1405404508</v>
      </c>
      <c r="I131" s="1" t="s">
        <v>23</v>
      </c>
      <c r="J131" s="1">
        <v>203.23712</v>
      </c>
      <c r="K131" s="1">
        <v>204.18178</v>
      </c>
      <c r="L131" s="7">
        <f>G131-J131</f>
        <v>-6.2610000000006494E-2</v>
      </c>
      <c r="M131" s="1" t="s">
        <v>2434</v>
      </c>
      <c r="N131" s="2">
        <v>5397598.94495143</v>
      </c>
      <c r="O131" s="1">
        <v>4233894.6580769001</v>
      </c>
      <c r="P131" s="1">
        <v>2419524.00550322</v>
      </c>
      <c r="Q131" s="1">
        <f>STDEV(N131:P131)</f>
        <v>1500837.481607087</v>
      </c>
      <c r="R131" s="1">
        <v>4017005.869510517</v>
      </c>
      <c r="S131" s="1">
        <v>4.9261257892446245E-3</v>
      </c>
    </row>
    <row r="132" spans="1:19" x14ac:dyDescent="0.3">
      <c r="A132" s="1">
        <v>925</v>
      </c>
      <c r="B132" s="1" t="s">
        <v>3310</v>
      </c>
      <c r="C132" s="1" t="s">
        <v>3311</v>
      </c>
      <c r="D132" s="1">
        <v>20.292999999999999</v>
      </c>
      <c r="E132" s="1" t="s">
        <v>3312</v>
      </c>
      <c r="F132" s="1" t="s">
        <v>3313</v>
      </c>
      <c r="G132" s="1">
        <v>303.29018000000002</v>
      </c>
      <c r="H132" s="2">
        <v>23504616.96689</v>
      </c>
      <c r="I132" s="1" t="s">
        <v>23</v>
      </c>
      <c r="J132" s="1">
        <v>303.35293999999999</v>
      </c>
      <c r="K132" s="1">
        <v>304.29745000000003</v>
      </c>
      <c r="L132" s="7">
        <f>G132-J132</f>
        <v>-6.2759999999968841E-2</v>
      </c>
      <c r="M132" s="1" t="s">
        <v>24</v>
      </c>
      <c r="N132" s="2">
        <v>1081999.3262757801</v>
      </c>
      <c r="O132" s="1">
        <v>1381800.7525187</v>
      </c>
      <c r="P132" s="1">
        <v>1356349.5709809901</v>
      </c>
      <c r="Q132" s="1">
        <f>STDEV(N132:P132)</f>
        <v>166231.12152901143</v>
      </c>
      <c r="R132" s="1">
        <v>1273383.2165918236</v>
      </c>
      <c r="S132" s="1">
        <v>1.5615725011645597E-3</v>
      </c>
    </row>
    <row r="133" spans="1:19" x14ac:dyDescent="0.3">
      <c r="A133" s="1">
        <v>464</v>
      </c>
      <c r="B133" s="1" t="s">
        <v>3377</v>
      </c>
      <c r="C133" s="1" t="s">
        <v>3378</v>
      </c>
      <c r="D133" s="1">
        <v>0.69699999999999995</v>
      </c>
      <c r="E133" s="1" t="s">
        <v>3379</v>
      </c>
      <c r="F133" s="1" t="s">
        <v>3380</v>
      </c>
      <c r="G133" s="1">
        <v>288.18903</v>
      </c>
      <c r="H133" s="2">
        <v>3688052.7525687199</v>
      </c>
      <c r="I133" s="1" t="s">
        <v>23</v>
      </c>
      <c r="J133" s="1">
        <v>288.25218000000001</v>
      </c>
      <c r="K133" s="1">
        <v>289.19594999999998</v>
      </c>
      <c r="L133" s="7">
        <f>G133-J133</f>
        <v>-6.3150000000007367E-2</v>
      </c>
      <c r="M133" s="1" t="s">
        <v>3381</v>
      </c>
      <c r="N133" s="2">
        <v>1138842.0764578599</v>
      </c>
      <c r="O133" s="1">
        <v>1077570.7138382101</v>
      </c>
      <c r="P133" s="1">
        <v>1282793.9518142999</v>
      </c>
      <c r="Q133" s="1">
        <f>STDEV(N133:P133)</f>
        <v>105350.92129109539</v>
      </c>
      <c r="R133" s="1">
        <v>1166402.2473701234</v>
      </c>
      <c r="S133" s="1">
        <v>1.4303798346460964E-3</v>
      </c>
    </row>
    <row r="134" spans="1:19" x14ac:dyDescent="0.3">
      <c r="A134" s="1">
        <v>295</v>
      </c>
      <c r="B134" s="1" t="s">
        <v>671</v>
      </c>
      <c r="C134" s="1" t="s">
        <v>672</v>
      </c>
      <c r="D134" s="1">
        <v>7.6550000000000002</v>
      </c>
      <c r="E134" s="1" t="s">
        <v>673</v>
      </c>
      <c r="F134" s="1" t="s">
        <v>674</v>
      </c>
      <c r="G134" s="1">
        <v>192.15030999999999</v>
      </c>
      <c r="H134" s="2">
        <v>86725011.267151207</v>
      </c>
      <c r="I134" s="1" t="s">
        <v>23</v>
      </c>
      <c r="J134" s="1">
        <v>192.21448000000001</v>
      </c>
      <c r="K134" s="1">
        <v>193.15754999999999</v>
      </c>
      <c r="L134" s="7">
        <f>G134-J134</f>
        <v>-6.417000000001849E-2</v>
      </c>
      <c r="M134" s="1" t="s">
        <v>675</v>
      </c>
      <c r="N134" s="2">
        <v>66624640.919563003</v>
      </c>
      <c r="O134" s="1">
        <v>72239899.228277802</v>
      </c>
      <c r="P134" s="1">
        <v>73440505.368592903</v>
      </c>
      <c r="Q134" s="1">
        <f>STDEV(N134:P134)</f>
        <v>3638419.7385976645</v>
      </c>
      <c r="R134" s="1">
        <v>70768348.505477905</v>
      </c>
      <c r="S134" s="1">
        <v>8.6784485250843174E-2</v>
      </c>
    </row>
    <row r="135" spans="1:19" x14ac:dyDescent="0.3">
      <c r="A135" s="1">
        <v>412</v>
      </c>
      <c r="B135" s="1" t="s">
        <v>3570</v>
      </c>
      <c r="C135" s="1" t="s">
        <v>3571</v>
      </c>
      <c r="D135" s="1">
        <v>2.496</v>
      </c>
      <c r="E135" s="1" t="s">
        <v>3572</v>
      </c>
      <c r="F135" s="1" t="s">
        <v>3573</v>
      </c>
      <c r="G135" s="1">
        <v>155.13004000000001</v>
      </c>
      <c r="H135" s="2">
        <v>1003012.68640149</v>
      </c>
      <c r="I135" s="1" t="s">
        <v>23</v>
      </c>
      <c r="J135" s="1">
        <v>155.19432</v>
      </c>
      <c r="K135" s="1">
        <v>156.13745</v>
      </c>
      <c r="L135" s="7">
        <f>G135-J135</f>
        <v>-6.4279999999996562E-2</v>
      </c>
      <c r="M135" s="1" t="s">
        <v>24</v>
      </c>
      <c r="N135" s="2">
        <v>1003012.68640149</v>
      </c>
      <c r="O135" s="1">
        <v>977984.70917556004</v>
      </c>
      <c r="P135" s="1">
        <v>839199.79173915205</v>
      </c>
      <c r="Q135" s="1">
        <f>STDEV(N135:P135)</f>
        <v>88244.279710270246</v>
      </c>
      <c r="R135" s="1">
        <v>940065.72910540074</v>
      </c>
      <c r="S135" s="1">
        <v>1.1528193341413888E-3</v>
      </c>
    </row>
    <row r="136" spans="1:19" x14ac:dyDescent="0.3">
      <c r="A136" s="1">
        <v>574</v>
      </c>
      <c r="B136" s="1" t="s">
        <v>681</v>
      </c>
      <c r="C136" s="1" t="s">
        <v>682</v>
      </c>
      <c r="D136" s="1">
        <v>0.997</v>
      </c>
      <c r="E136" s="1" t="s">
        <v>683</v>
      </c>
      <c r="F136" s="1" t="s">
        <v>684</v>
      </c>
      <c r="G136" s="1">
        <v>240.14569</v>
      </c>
      <c r="H136" s="2">
        <v>148171378.33136699</v>
      </c>
      <c r="I136" s="1" t="s">
        <v>23</v>
      </c>
      <c r="J136" s="1">
        <v>240.21091999999999</v>
      </c>
      <c r="K136" s="1">
        <v>241.15297000000001</v>
      </c>
      <c r="L136" s="7">
        <f>G136-J136</f>
        <v>-6.5229999999985466E-2</v>
      </c>
      <c r="M136" s="1" t="s">
        <v>685</v>
      </c>
      <c r="N136" s="2">
        <v>67721502.447433993</v>
      </c>
      <c r="O136" s="1">
        <v>65311279.530952699</v>
      </c>
      <c r="P136" s="1">
        <v>75972312.251543805</v>
      </c>
      <c r="Q136" s="1">
        <f>STDEV(N136:P136)</f>
        <v>5590805.779733967</v>
      </c>
      <c r="R136" s="1">
        <v>69668364.743310168</v>
      </c>
      <c r="S136" s="1">
        <v>8.543555558666395E-2</v>
      </c>
    </row>
    <row r="137" spans="1:19" x14ac:dyDescent="0.3">
      <c r="A137" s="1">
        <v>565</v>
      </c>
      <c r="B137" s="1" t="s">
        <v>3548</v>
      </c>
      <c r="C137" s="1" t="s">
        <v>3549</v>
      </c>
      <c r="D137" s="1">
        <v>10.811999999999999</v>
      </c>
      <c r="E137" s="1" t="s">
        <v>3550</v>
      </c>
      <c r="F137" s="1" t="s">
        <v>3551</v>
      </c>
      <c r="G137" s="1">
        <v>256.14443</v>
      </c>
      <c r="H137" s="2">
        <v>31459116.7324837</v>
      </c>
      <c r="I137" s="1" t="s">
        <v>23</v>
      </c>
      <c r="J137" s="1">
        <v>256.21032000000002</v>
      </c>
      <c r="K137" s="1">
        <v>257.15170000000001</v>
      </c>
      <c r="L137" s="7">
        <f>G137-J137</f>
        <v>-6.5890000000024429E-2</v>
      </c>
      <c r="M137" s="1" t="s">
        <v>3445</v>
      </c>
      <c r="N137" s="2">
        <v>543291.01776561502</v>
      </c>
      <c r="O137" s="1">
        <v>1179964.26164976</v>
      </c>
      <c r="P137" s="1">
        <v>1186541.6297146999</v>
      </c>
      <c r="Q137" s="1">
        <f>STDEV(N137:P137)</f>
        <v>369496.82700971706</v>
      </c>
      <c r="R137" s="1">
        <v>969932.30304335838</v>
      </c>
      <c r="S137" s="1">
        <v>1.1894452453029482E-3</v>
      </c>
    </row>
    <row r="138" spans="1:19" x14ac:dyDescent="0.3">
      <c r="A138" s="1">
        <v>598</v>
      </c>
      <c r="B138" s="1" t="s">
        <v>2902</v>
      </c>
      <c r="C138" s="1" t="s">
        <v>2903</v>
      </c>
      <c r="D138" s="1">
        <v>9.5739999999999998</v>
      </c>
      <c r="E138" s="1" t="s">
        <v>2904</v>
      </c>
      <c r="F138" s="1" t="s">
        <v>2905</v>
      </c>
      <c r="G138" s="1">
        <v>258.16014000000001</v>
      </c>
      <c r="H138" s="2">
        <v>66260314.600121804</v>
      </c>
      <c r="I138" s="1" t="s">
        <v>23</v>
      </c>
      <c r="J138" s="1">
        <v>258.22620000000001</v>
      </c>
      <c r="K138" s="1">
        <v>259.16741999999999</v>
      </c>
      <c r="L138" s="7">
        <f>G138-J138</f>
        <v>-6.6059999999993124E-2</v>
      </c>
      <c r="M138" s="1" t="s">
        <v>2906</v>
      </c>
      <c r="N138" s="2">
        <v>1906163.6262282301</v>
      </c>
      <c r="O138" s="1">
        <v>2171823.5311301402</v>
      </c>
      <c r="P138" s="1">
        <v>2363330.3016526098</v>
      </c>
      <c r="Q138" s="1">
        <f>STDEV(N138:P138)</f>
        <v>229583.46243687283</v>
      </c>
      <c r="R138" s="1">
        <v>2147105.8196703265</v>
      </c>
      <c r="S138" s="1">
        <v>2.6330340791371654E-3</v>
      </c>
    </row>
    <row r="139" spans="1:19" x14ac:dyDescent="0.3">
      <c r="A139" s="1">
        <v>605</v>
      </c>
      <c r="B139" s="1" t="s">
        <v>3087</v>
      </c>
      <c r="C139" s="1" t="s">
        <v>3088</v>
      </c>
      <c r="D139" s="1">
        <v>3.383</v>
      </c>
      <c r="E139" s="1" t="s">
        <v>3089</v>
      </c>
      <c r="F139" s="1" t="s">
        <v>3090</v>
      </c>
      <c r="G139" s="1">
        <v>252.15519</v>
      </c>
      <c r="H139" s="2">
        <v>115610085.98714601</v>
      </c>
      <c r="I139" s="1" t="s">
        <v>150</v>
      </c>
      <c r="J139" s="1">
        <v>252.22162</v>
      </c>
      <c r="K139" s="1">
        <v>275.14434999999997</v>
      </c>
      <c r="L139" s="7">
        <f>G139-J139</f>
        <v>-6.642999999999688E-2</v>
      </c>
      <c r="M139" s="1" t="s">
        <v>3091</v>
      </c>
      <c r="N139" s="2">
        <v>1314296.1018624201</v>
      </c>
      <c r="O139" s="1">
        <v>1824247.4492031201</v>
      </c>
      <c r="P139" s="1">
        <v>2169986.5666208002</v>
      </c>
      <c r="Q139" s="1">
        <f>STDEV(N139:P139)</f>
        <v>430463.33282595273</v>
      </c>
      <c r="R139" s="1">
        <v>1769510.0392287802</v>
      </c>
      <c r="S139" s="1">
        <v>2.1699816534334138E-3</v>
      </c>
    </row>
    <row r="140" spans="1:19" x14ac:dyDescent="0.3">
      <c r="A140" s="1">
        <v>683</v>
      </c>
      <c r="B140" s="1" t="s">
        <v>4502</v>
      </c>
      <c r="C140" s="1" t="s">
        <v>4503</v>
      </c>
      <c r="D140" s="1">
        <v>22.783999999999999</v>
      </c>
      <c r="E140" s="1" t="s">
        <v>4504</v>
      </c>
      <c r="F140" s="1" t="s">
        <v>4505</v>
      </c>
      <c r="G140" s="1">
        <v>284.19691999999998</v>
      </c>
      <c r="H140" s="2">
        <v>312333.05543217203</v>
      </c>
      <c r="I140" s="1" t="s">
        <v>17</v>
      </c>
      <c r="J140" s="1">
        <v>284.26348000000002</v>
      </c>
      <c r="K140" s="1">
        <v>283.18964999999997</v>
      </c>
      <c r="L140" s="7">
        <f>G140-J140</f>
        <v>-6.6560000000038144E-2</v>
      </c>
      <c r="M140" s="1" t="s">
        <v>24</v>
      </c>
      <c r="N140" s="2">
        <v>88989.775393644406</v>
      </c>
      <c r="O140" s="1">
        <v>132360.871533053</v>
      </c>
      <c r="P140" s="1">
        <v>312333.05543217203</v>
      </c>
      <c r="Q140" s="1">
        <f>STDEV(N140:P140)</f>
        <v>118429.4865423587</v>
      </c>
      <c r="R140" s="1">
        <v>177894.56745295646</v>
      </c>
      <c r="S140" s="1">
        <v>2.1815527409306708E-4</v>
      </c>
    </row>
    <row r="141" spans="1:19" x14ac:dyDescent="0.3">
      <c r="A141" s="1">
        <v>561</v>
      </c>
      <c r="B141" s="1" t="s">
        <v>1397</v>
      </c>
      <c r="C141" s="1" t="s">
        <v>1398</v>
      </c>
      <c r="D141" s="1">
        <v>9.5380000000000003</v>
      </c>
      <c r="E141" s="1" t="s">
        <v>1399</v>
      </c>
      <c r="F141" s="1" t="s">
        <v>1400</v>
      </c>
      <c r="G141" s="1">
        <v>288.22854999999998</v>
      </c>
      <c r="H141" s="2">
        <v>30098878.891803</v>
      </c>
      <c r="I141" s="1" t="s">
        <v>17</v>
      </c>
      <c r="J141" s="1">
        <v>288.29523999999998</v>
      </c>
      <c r="K141" s="1">
        <v>287.22127</v>
      </c>
      <c r="L141" s="7">
        <f>G141-J141</f>
        <v>-6.6689999999994143E-2</v>
      </c>
      <c r="M141" s="1" t="s">
        <v>1401</v>
      </c>
      <c r="N141" s="2">
        <v>22165163.906995799</v>
      </c>
      <c r="O141" s="1">
        <v>21073484.441438999</v>
      </c>
      <c r="P141" s="1">
        <v>12552861.518928001</v>
      </c>
      <c r="Q141" s="1">
        <f>STDEV(N141:P141)</f>
        <v>5262906.9318959732</v>
      </c>
      <c r="R141" s="1">
        <v>18597169.955787599</v>
      </c>
      <c r="S141" s="1">
        <v>2.2806040494367952E-2</v>
      </c>
    </row>
    <row r="142" spans="1:19" x14ac:dyDescent="0.3">
      <c r="A142" s="1">
        <v>203</v>
      </c>
      <c r="B142" s="1" t="s">
        <v>120</v>
      </c>
      <c r="C142" s="1" t="s">
        <v>121</v>
      </c>
      <c r="D142" s="1">
        <v>0.63300000000000001</v>
      </c>
      <c r="E142" s="1" t="s">
        <v>122</v>
      </c>
      <c r="F142" s="1" t="s">
        <v>123</v>
      </c>
      <c r="G142" s="1">
        <v>202.14213000000001</v>
      </c>
      <c r="H142" s="2">
        <v>618069609.15728498</v>
      </c>
      <c r="I142" s="1" t="s">
        <v>124</v>
      </c>
      <c r="J142" s="1">
        <v>202.20930000000001</v>
      </c>
      <c r="K142" s="1">
        <v>266.15789999999998</v>
      </c>
      <c r="L142" s="7">
        <f>G142-J142</f>
        <v>-6.7170000000004393E-2</v>
      </c>
      <c r="M142" s="1" t="s">
        <v>125</v>
      </c>
      <c r="N142" s="2">
        <v>618069609.15728498</v>
      </c>
      <c r="O142" s="1">
        <v>590544504.17564595</v>
      </c>
      <c r="P142" s="1">
        <v>557379618.80146801</v>
      </c>
      <c r="Q142" s="1">
        <f>STDEV(N142:P142)</f>
        <v>30388638.105717976</v>
      </c>
      <c r="R142" s="1">
        <v>588664577.37813294</v>
      </c>
      <c r="S142" s="1">
        <v>0.72188984782104904</v>
      </c>
    </row>
    <row r="143" spans="1:19" x14ac:dyDescent="0.3">
      <c r="A143" s="1">
        <v>16</v>
      </c>
      <c r="B143" s="1" t="s">
        <v>146</v>
      </c>
      <c r="C143" s="1" t="s">
        <v>147</v>
      </c>
      <c r="D143" s="1">
        <v>7.4160000000000004</v>
      </c>
      <c r="E143" s="1" t="s">
        <v>148</v>
      </c>
      <c r="F143" s="1" t="s">
        <v>149</v>
      </c>
      <c r="G143" s="1">
        <v>326.19166999999999</v>
      </c>
      <c r="H143" s="2">
        <v>543699067.602983</v>
      </c>
      <c r="I143" s="1" t="s">
        <v>150</v>
      </c>
      <c r="J143" s="1">
        <v>326.25886000000003</v>
      </c>
      <c r="K143" s="1">
        <v>349.18076000000002</v>
      </c>
      <c r="L143" s="7">
        <f>G143-J143</f>
        <v>-6.7190000000039163E-2</v>
      </c>
      <c r="M143" s="1" t="s">
        <v>151</v>
      </c>
      <c r="N143" s="2">
        <v>543699067.602983</v>
      </c>
      <c r="O143" s="1">
        <v>509292065.86885101</v>
      </c>
      <c r="P143" s="1">
        <v>445632550.864021</v>
      </c>
      <c r="Q143" s="1">
        <f>STDEV(N143:P143)</f>
        <v>49755095.759623542</v>
      </c>
      <c r="R143" s="1">
        <v>499541228.11195165</v>
      </c>
      <c r="S143" s="1">
        <v>0.61259629846970376</v>
      </c>
    </row>
    <row r="144" spans="1:19" x14ac:dyDescent="0.3">
      <c r="A144" s="1">
        <v>665</v>
      </c>
      <c r="B144" s="1" t="s">
        <v>1444</v>
      </c>
      <c r="C144" s="1" t="s">
        <v>1445</v>
      </c>
      <c r="D144" s="1">
        <v>11.313000000000001</v>
      </c>
      <c r="E144" s="1" t="s">
        <v>1446</v>
      </c>
      <c r="F144" s="1" t="s">
        <v>1447</v>
      </c>
      <c r="G144" s="1">
        <v>314.22226000000001</v>
      </c>
      <c r="H144" s="2">
        <v>58092911.523109101</v>
      </c>
      <c r="I144" s="1" t="s">
        <v>23</v>
      </c>
      <c r="J144" s="1">
        <v>314.28946000000002</v>
      </c>
      <c r="K144" s="1">
        <v>315.22953999999999</v>
      </c>
      <c r="L144" s="7">
        <f>G144-J144</f>
        <v>-6.7200000000013915E-2</v>
      </c>
      <c r="M144" s="1" t="s">
        <v>24</v>
      </c>
      <c r="N144" s="2">
        <v>31720965.239123002</v>
      </c>
      <c r="O144" s="1">
        <v>3385264.5188505901</v>
      </c>
      <c r="P144" s="1">
        <v>16394522.3555365</v>
      </c>
      <c r="Q144" s="1">
        <f>STDEV(N144:P144)</f>
        <v>14183632.446321474</v>
      </c>
      <c r="R144" s="1">
        <v>17166917.371170029</v>
      </c>
      <c r="S144" s="1">
        <v>2.105209629535763E-2</v>
      </c>
    </row>
    <row r="145" spans="1:19" x14ac:dyDescent="0.3">
      <c r="A145" s="1">
        <v>92</v>
      </c>
      <c r="B145" s="1" t="s">
        <v>1272</v>
      </c>
      <c r="C145" s="1" t="s">
        <v>1273</v>
      </c>
      <c r="D145" s="1">
        <v>10.971</v>
      </c>
      <c r="E145" s="1" t="s">
        <v>1274</v>
      </c>
      <c r="F145" s="1" t="s">
        <v>1275</v>
      </c>
      <c r="G145" s="1">
        <v>303.29039</v>
      </c>
      <c r="H145" s="2">
        <v>71779025.288229793</v>
      </c>
      <c r="I145" s="1" t="s">
        <v>23</v>
      </c>
      <c r="J145" s="1">
        <v>303.35777999999999</v>
      </c>
      <c r="K145" s="1">
        <v>304.29766999999998</v>
      </c>
      <c r="L145" s="7">
        <f>G145-J145</f>
        <v>-6.7389999999988959E-2</v>
      </c>
      <c r="M145" s="1" t="s">
        <v>24</v>
      </c>
      <c r="N145" s="2">
        <v>71779025.288229793</v>
      </c>
      <c r="O145" s="1">
        <v>2789588.3183926302</v>
      </c>
      <c r="P145" s="1">
        <v>5567296.3449409902</v>
      </c>
      <c r="Q145" s="1">
        <f>STDEV(N145:P145)</f>
        <v>39053918.123869538</v>
      </c>
      <c r="R145" s="1">
        <v>26711969.983854473</v>
      </c>
      <c r="S145" s="1">
        <v>3.2757364189519592E-2</v>
      </c>
    </row>
    <row r="146" spans="1:19" x14ac:dyDescent="0.3">
      <c r="A146" s="1">
        <v>601</v>
      </c>
      <c r="B146" s="1" t="s">
        <v>215</v>
      </c>
      <c r="C146" s="1" t="s">
        <v>216</v>
      </c>
      <c r="D146" s="1">
        <v>11.326000000000001</v>
      </c>
      <c r="E146" s="1" t="s">
        <v>217</v>
      </c>
      <c r="F146" s="1" t="s">
        <v>218</v>
      </c>
      <c r="G146" s="1">
        <v>242.20173</v>
      </c>
      <c r="H146" s="2">
        <v>449797344.408925</v>
      </c>
      <c r="I146" s="1" t="s">
        <v>23</v>
      </c>
      <c r="J146" s="1">
        <v>242.26985999999999</v>
      </c>
      <c r="K146" s="1">
        <v>243.209</v>
      </c>
      <c r="L146" s="7">
        <f>G146-J146</f>
        <v>-6.8129999999996471E-2</v>
      </c>
      <c r="M146" s="1" t="s">
        <v>24</v>
      </c>
      <c r="N146" s="2">
        <v>449797344.408925</v>
      </c>
      <c r="O146" s="1">
        <v>328218159.90830803</v>
      </c>
      <c r="P146" s="1">
        <v>115010895.35029601</v>
      </c>
      <c r="Q146" s="1">
        <f>STDEV(N146:P146)</f>
        <v>169470155.79811832</v>
      </c>
      <c r="R146" s="1">
        <v>297675466.55584306</v>
      </c>
      <c r="S146" s="1">
        <v>0.36504472242776365</v>
      </c>
    </row>
    <row r="147" spans="1:19" x14ac:dyDescent="0.3">
      <c r="A147" s="1">
        <v>7</v>
      </c>
      <c r="B147" s="1" t="s">
        <v>548</v>
      </c>
      <c r="C147" s="1" t="s">
        <v>549</v>
      </c>
      <c r="D147" s="1">
        <v>11.199</v>
      </c>
      <c r="E147" s="1" t="s">
        <v>550</v>
      </c>
      <c r="F147" s="1" t="s">
        <v>551</v>
      </c>
      <c r="G147" s="1">
        <v>390.27505000000002</v>
      </c>
      <c r="H147" s="2">
        <v>123104476.67474499</v>
      </c>
      <c r="I147" s="1" t="s">
        <v>17</v>
      </c>
      <c r="J147" s="1">
        <v>390.34411999999998</v>
      </c>
      <c r="K147" s="1">
        <v>389.26781999999997</v>
      </c>
      <c r="L147" s="7">
        <f>G147-J147</f>
        <v>-6.9069999999953779E-2</v>
      </c>
      <c r="M147" s="1" t="s">
        <v>552</v>
      </c>
      <c r="N147" s="2">
        <v>123104476.67474499</v>
      </c>
      <c r="O147" s="1">
        <v>91682215.387911394</v>
      </c>
      <c r="P147" s="1">
        <v>55850178.1673645</v>
      </c>
      <c r="Q147" s="1">
        <f>STDEV(N147:P147)</f>
        <v>33651235.894769512</v>
      </c>
      <c r="R147" s="1">
        <v>90212290.076673627</v>
      </c>
      <c r="S147" s="1">
        <v>0.11062893684735139</v>
      </c>
    </row>
    <row r="148" spans="1:19" x14ac:dyDescent="0.3">
      <c r="A148" s="1">
        <v>524</v>
      </c>
      <c r="B148" s="1" t="s">
        <v>1220</v>
      </c>
      <c r="C148" s="1" t="s">
        <v>1221</v>
      </c>
      <c r="D148" s="1">
        <v>11.297000000000001</v>
      </c>
      <c r="E148" s="1" t="s">
        <v>1222</v>
      </c>
      <c r="F148" s="1" t="s">
        <v>1223</v>
      </c>
      <c r="G148" s="1">
        <v>296.24815999999998</v>
      </c>
      <c r="H148" s="2">
        <v>49281239.250334203</v>
      </c>
      <c r="I148" s="1" t="s">
        <v>23</v>
      </c>
      <c r="J148" s="1">
        <v>296.31724000000003</v>
      </c>
      <c r="K148" s="1">
        <v>297.25542999999999</v>
      </c>
      <c r="L148" s="7">
        <f>G148-J148</f>
        <v>-6.9080000000042219E-2</v>
      </c>
      <c r="M148" s="1" t="s">
        <v>24</v>
      </c>
      <c r="N148" s="2">
        <v>43353070.604165703</v>
      </c>
      <c r="O148" s="1">
        <v>38312627.599463202</v>
      </c>
      <c r="P148" s="1">
        <v>4249549.8992394703</v>
      </c>
      <c r="Q148" s="1">
        <f>STDEV(N148:P148)</f>
        <v>21271203.772611342</v>
      </c>
      <c r="R148" s="1">
        <v>28638416.034289453</v>
      </c>
      <c r="S148" s="1">
        <v>3.5119799266517017E-2</v>
      </c>
    </row>
    <row r="149" spans="1:19" x14ac:dyDescent="0.3">
      <c r="A149" s="1">
        <v>613</v>
      </c>
      <c r="B149" s="1" t="s">
        <v>4431</v>
      </c>
      <c r="C149" s="1" t="s">
        <v>4432</v>
      </c>
      <c r="D149" s="1">
        <v>8.4480000000000004</v>
      </c>
      <c r="E149" s="1" t="s">
        <v>4433</v>
      </c>
      <c r="F149" s="1" t="s">
        <v>4434</v>
      </c>
      <c r="G149" s="1">
        <v>256.14084000000003</v>
      </c>
      <c r="H149" s="2">
        <v>552872.90041655698</v>
      </c>
      <c r="I149" s="1" t="s">
        <v>17</v>
      </c>
      <c r="J149" s="1">
        <v>256.21032000000002</v>
      </c>
      <c r="K149" s="1">
        <v>255.13355999999999</v>
      </c>
      <c r="L149" s="7">
        <f>G149-J149</f>
        <v>-6.9479999999998654E-2</v>
      </c>
      <c r="M149" s="1" t="s">
        <v>4435</v>
      </c>
      <c r="N149" s="2">
        <v>152101.73286043099</v>
      </c>
      <c r="O149" s="1">
        <v>176238.28590269899</v>
      </c>
      <c r="P149" s="1">
        <v>345410.77248363302</v>
      </c>
      <c r="Q149" s="1">
        <f>STDEV(N149:P149)</f>
        <v>105333.03392002542</v>
      </c>
      <c r="R149" s="1">
        <v>224583.59708225433</v>
      </c>
      <c r="S149" s="1">
        <v>2.754108620615547E-4</v>
      </c>
    </row>
    <row r="150" spans="1:19" x14ac:dyDescent="0.3">
      <c r="A150" s="1">
        <v>533</v>
      </c>
      <c r="B150" s="1" t="s">
        <v>3923</v>
      </c>
      <c r="C150" s="1" t="s">
        <v>3924</v>
      </c>
      <c r="D150" s="1">
        <v>1.121</v>
      </c>
      <c r="E150" s="1" t="s">
        <v>3925</v>
      </c>
      <c r="F150" s="1" t="s">
        <v>3926</v>
      </c>
      <c r="G150" s="1">
        <v>272.18275999999997</v>
      </c>
      <c r="H150" s="2">
        <v>29253891.176950499</v>
      </c>
      <c r="I150" s="1" t="s">
        <v>23</v>
      </c>
      <c r="J150" s="1">
        <v>272.25277999999997</v>
      </c>
      <c r="K150" s="1">
        <v>273.19002999999998</v>
      </c>
      <c r="L150" s="7">
        <f>G150-J150</f>
        <v>-7.0019999999999527E-2</v>
      </c>
      <c r="M150" s="1" t="s">
        <v>3927</v>
      </c>
      <c r="N150" s="2">
        <v>578105.96250559005</v>
      </c>
      <c r="O150" s="1">
        <v>710413.17366507801</v>
      </c>
      <c r="P150" s="1">
        <v>667367.75866391102</v>
      </c>
      <c r="Q150" s="1">
        <f>STDEV(N150:P150)</f>
        <v>67485.522065642188</v>
      </c>
      <c r="R150" s="1">
        <v>651962.29827819299</v>
      </c>
      <c r="S150" s="1">
        <v>7.9951296948310171E-4</v>
      </c>
    </row>
    <row r="151" spans="1:19" x14ac:dyDescent="0.3">
      <c r="A151" s="1">
        <v>200</v>
      </c>
      <c r="B151" s="1" t="s">
        <v>2707</v>
      </c>
      <c r="C151" s="1" t="s">
        <v>2708</v>
      </c>
      <c r="D151" s="1">
        <v>16.073</v>
      </c>
      <c r="E151" s="1" t="s">
        <v>2709</v>
      </c>
      <c r="F151" s="1" t="s">
        <v>2710</v>
      </c>
      <c r="G151" s="1">
        <v>188.15568999999999</v>
      </c>
      <c r="H151" s="2">
        <v>3032646.2513504201</v>
      </c>
      <c r="I151" s="1" t="s">
        <v>456</v>
      </c>
      <c r="J151" s="1">
        <v>188.22577999999999</v>
      </c>
      <c r="K151" s="1">
        <v>399.30077999999997</v>
      </c>
      <c r="L151" s="7">
        <f>G151-J151</f>
        <v>-7.0089999999993324E-2</v>
      </c>
      <c r="M151" s="1" t="s">
        <v>24</v>
      </c>
      <c r="N151" s="2">
        <v>2239734.0418035001</v>
      </c>
      <c r="O151" s="1">
        <v>3032646.2513504201</v>
      </c>
      <c r="P151" s="1">
        <v>2880418.9605219699</v>
      </c>
      <c r="Q151" s="1">
        <f>STDEV(N151:P151)</f>
        <v>420784.99759276188</v>
      </c>
      <c r="R151" s="1">
        <v>2717599.7512252969</v>
      </c>
      <c r="S151" s="1">
        <v>3.3326409405986211E-3</v>
      </c>
    </row>
    <row r="152" spans="1:19" x14ac:dyDescent="0.3">
      <c r="A152" s="1">
        <v>195</v>
      </c>
      <c r="B152" s="1" t="s">
        <v>663</v>
      </c>
      <c r="C152" s="1" t="s">
        <v>664</v>
      </c>
      <c r="D152" s="1">
        <v>11.35</v>
      </c>
      <c r="E152" s="1" t="s">
        <v>665</v>
      </c>
      <c r="F152" s="1" t="s">
        <v>666</v>
      </c>
      <c r="G152" s="1">
        <v>186.13954000000001</v>
      </c>
      <c r="H152" s="2">
        <v>104648412.339325</v>
      </c>
      <c r="I152" s="1" t="s">
        <v>344</v>
      </c>
      <c r="J152" s="1">
        <v>186.2099</v>
      </c>
      <c r="K152" s="1">
        <v>219.17292</v>
      </c>
      <c r="L152" s="7">
        <f>G152-J152</f>
        <v>-7.0359999999993761E-2</v>
      </c>
      <c r="M152" s="1" t="s">
        <v>24</v>
      </c>
      <c r="N152" s="2">
        <v>104648412.339325</v>
      </c>
      <c r="O152" s="1">
        <v>74033364.371988505</v>
      </c>
      <c r="P152" s="1">
        <v>38471864.817717098</v>
      </c>
      <c r="Q152" s="1">
        <f>STDEV(N152:P152)</f>
        <v>33119070.172310062</v>
      </c>
      <c r="R152" s="1">
        <v>72384547.17634353</v>
      </c>
      <c r="S152" s="1">
        <v>8.8766458444739502E-2</v>
      </c>
    </row>
    <row r="153" spans="1:19" x14ac:dyDescent="0.3">
      <c r="A153" s="1">
        <v>525</v>
      </c>
      <c r="B153" s="1" t="s">
        <v>1817</v>
      </c>
      <c r="C153" s="1" t="s">
        <v>1818</v>
      </c>
      <c r="D153" s="1">
        <v>8.1790000000000003</v>
      </c>
      <c r="E153" s="1" t="s">
        <v>1819</v>
      </c>
      <c r="F153" s="1" t="s">
        <v>1820</v>
      </c>
      <c r="G153" s="1">
        <v>300.19204000000002</v>
      </c>
      <c r="H153" s="2">
        <v>16155209.024022</v>
      </c>
      <c r="I153" s="1" t="s">
        <v>17</v>
      </c>
      <c r="J153" s="1">
        <v>300.26288</v>
      </c>
      <c r="K153" s="1">
        <v>299.18477000000001</v>
      </c>
      <c r="L153" s="7">
        <f>G153-J153</f>
        <v>-7.0839999999975589E-2</v>
      </c>
      <c r="M153" s="1" t="s">
        <v>1821</v>
      </c>
      <c r="N153" s="2">
        <v>12623881.3400834</v>
      </c>
      <c r="O153" s="1">
        <v>7470887.55623974</v>
      </c>
      <c r="P153" s="1">
        <v>8054426.9867714001</v>
      </c>
      <c r="Q153" s="1">
        <f>STDEV(N153:P153)</f>
        <v>2821754.072981271</v>
      </c>
      <c r="R153" s="1">
        <v>9383065.2943648472</v>
      </c>
      <c r="S153" s="1">
        <v>1.1506619962785658E-2</v>
      </c>
    </row>
    <row r="154" spans="1:19" x14ac:dyDescent="0.3">
      <c r="A154" s="1">
        <v>470</v>
      </c>
      <c r="B154" s="1" t="s">
        <v>2243</v>
      </c>
      <c r="C154" s="1" t="s">
        <v>2244</v>
      </c>
      <c r="D154" s="1">
        <v>8.625</v>
      </c>
      <c r="E154" s="1" t="s">
        <v>2245</v>
      </c>
      <c r="F154" s="1" t="s">
        <v>2246</v>
      </c>
      <c r="G154" s="1">
        <v>302.20778999999999</v>
      </c>
      <c r="H154" s="2">
        <v>28726016.184114899</v>
      </c>
      <c r="I154" s="1" t="s">
        <v>17</v>
      </c>
      <c r="J154" s="1">
        <v>302.27875999999998</v>
      </c>
      <c r="K154" s="1">
        <v>301.20051000000001</v>
      </c>
      <c r="L154" s="7">
        <f>G154-J154</f>
        <v>-7.0969999999988431E-2</v>
      </c>
      <c r="M154" s="1" t="s">
        <v>2073</v>
      </c>
      <c r="N154" s="2">
        <v>5089037.5612609703</v>
      </c>
      <c r="O154" s="1">
        <v>5804975.2627584599</v>
      </c>
      <c r="P154" s="1">
        <v>4976586.492656</v>
      </c>
      <c r="Q154" s="1">
        <f>STDEV(N154:P154)</f>
        <v>449340.25520529808</v>
      </c>
      <c r="R154" s="1">
        <v>5290199.7722251434</v>
      </c>
      <c r="S154" s="1">
        <v>6.4874661314323198E-3</v>
      </c>
    </row>
    <row r="155" spans="1:19" x14ac:dyDescent="0.3">
      <c r="A155" s="1">
        <v>119</v>
      </c>
      <c r="B155" s="1" t="s">
        <v>482</v>
      </c>
      <c r="C155" s="1" t="s">
        <v>483</v>
      </c>
      <c r="D155" s="1">
        <v>6.9640000000000004</v>
      </c>
      <c r="E155" s="1" t="s">
        <v>484</v>
      </c>
      <c r="F155" s="1" t="s">
        <v>485</v>
      </c>
      <c r="G155" s="1">
        <v>225.17141000000001</v>
      </c>
      <c r="H155" s="2">
        <v>117770785.133082</v>
      </c>
      <c r="I155" s="1" t="s">
        <v>23</v>
      </c>
      <c r="J155" s="1">
        <v>225.24263999999999</v>
      </c>
      <c r="K155" s="1">
        <v>226.17868999999999</v>
      </c>
      <c r="L155" s="7">
        <f>G155-J155</f>
        <v>-7.1229999999985694E-2</v>
      </c>
      <c r="M155" s="1" t="s">
        <v>24</v>
      </c>
      <c r="N155" s="2">
        <v>112741727.460448</v>
      </c>
      <c r="O155" s="1">
        <v>117770785.133082</v>
      </c>
      <c r="P155" s="1">
        <v>89634118.450970396</v>
      </c>
      <c r="Q155" s="1">
        <f>STDEV(N155:P155)</f>
        <v>15005138.159920488</v>
      </c>
      <c r="R155" s="1">
        <v>106715543.68150014</v>
      </c>
      <c r="S155" s="1">
        <v>0.13086717045468402</v>
      </c>
    </row>
    <row r="156" spans="1:19" x14ac:dyDescent="0.3">
      <c r="A156" s="1">
        <v>545</v>
      </c>
      <c r="B156" s="1" t="s">
        <v>926</v>
      </c>
      <c r="C156" s="1" t="s">
        <v>927</v>
      </c>
      <c r="D156" s="1">
        <v>11.53</v>
      </c>
      <c r="E156" s="1" t="s">
        <v>928</v>
      </c>
      <c r="F156" s="1" t="s">
        <v>929</v>
      </c>
      <c r="G156" s="1">
        <v>256.18052999999998</v>
      </c>
      <c r="H156" s="2">
        <v>66675283.533541404</v>
      </c>
      <c r="I156" s="1" t="s">
        <v>344</v>
      </c>
      <c r="J156" s="1">
        <v>256.25337999999999</v>
      </c>
      <c r="K156" s="1">
        <v>289.21404999999999</v>
      </c>
      <c r="L156" s="7">
        <f>G156-J156</f>
        <v>-7.2850000000016735E-2</v>
      </c>
      <c r="M156" s="1" t="s">
        <v>24</v>
      </c>
      <c r="N156" s="2">
        <v>51962445.366388597</v>
      </c>
      <c r="O156" s="1">
        <v>66675283.533541404</v>
      </c>
      <c r="P156" s="1">
        <v>20575790.393391199</v>
      </c>
      <c r="Q156" s="1">
        <f>STDEV(N156:P156)</f>
        <v>23546949.502025269</v>
      </c>
      <c r="R156" s="1">
        <v>46404506.431107067</v>
      </c>
      <c r="S156" s="1">
        <v>5.6906672106829502E-2</v>
      </c>
    </row>
    <row r="157" spans="1:19" x14ac:dyDescent="0.3">
      <c r="A157" s="1">
        <v>299</v>
      </c>
      <c r="B157" s="1" t="s">
        <v>1367</v>
      </c>
      <c r="C157" s="1" t="s">
        <v>1368</v>
      </c>
      <c r="D157" s="1">
        <v>11.269</v>
      </c>
      <c r="E157" s="1" t="s">
        <v>1369</v>
      </c>
      <c r="F157" s="1" t="s">
        <v>1370</v>
      </c>
      <c r="G157" s="1">
        <v>161.12747999999999</v>
      </c>
      <c r="H157" s="2">
        <v>26456421.192613602</v>
      </c>
      <c r="I157" s="1" t="s">
        <v>23</v>
      </c>
      <c r="J157" s="1">
        <v>161.20043999999999</v>
      </c>
      <c r="K157" s="1">
        <v>162.13482999999999</v>
      </c>
      <c r="L157" s="7">
        <f>G157-J157</f>
        <v>-7.2959999999994807E-2</v>
      </c>
      <c r="M157" s="1" t="s">
        <v>1371</v>
      </c>
      <c r="N157" s="2">
        <v>26456421.192613602</v>
      </c>
      <c r="O157" s="1">
        <v>24222004.948851701</v>
      </c>
      <c r="P157" s="1">
        <v>7259865.9956505196</v>
      </c>
      <c r="Q157" s="1">
        <f>STDEV(N157:P157)</f>
        <v>10497733.924107475</v>
      </c>
      <c r="R157" s="1">
        <v>19312764.045705277</v>
      </c>
      <c r="S157" s="1">
        <v>2.3683586262406388E-2</v>
      </c>
    </row>
    <row r="158" spans="1:19" x14ac:dyDescent="0.3">
      <c r="A158" s="1">
        <v>1002</v>
      </c>
      <c r="B158" s="1" t="s">
        <v>1038</v>
      </c>
      <c r="C158" s="1" t="s">
        <v>1039</v>
      </c>
      <c r="D158" s="1">
        <v>0.16</v>
      </c>
      <c r="E158" s="1"/>
      <c r="F158" s="1" t="s">
        <v>1040</v>
      </c>
      <c r="G158" s="1">
        <v>210.19692000000001</v>
      </c>
      <c r="H158" s="2">
        <v>62974935.252695501</v>
      </c>
      <c r="I158" s="1" t="s">
        <v>23</v>
      </c>
      <c r="J158" s="1">
        <v>210.27</v>
      </c>
      <c r="K158" s="1">
        <v>211.20421999999999</v>
      </c>
      <c r="L158" s="7">
        <f>G158-J158</f>
        <v>-7.3080000000004475E-2</v>
      </c>
      <c r="M158" s="1" t="s">
        <v>24</v>
      </c>
      <c r="N158" s="2">
        <v>6639875.88862269</v>
      </c>
      <c r="O158" s="1">
        <v>47439341.895881101</v>
      </c>
      <c r="P158" s="1">
        <v>62974935.252695501</v>
      </c>
      <c r="Q158" s="1">
        <f>STDEV(N158:P158)</f>
        <v>29096362.891202681</v>
      </c>
      <c r="R158" s="1">
        <v>39018051.012399763</v>
      </c>
      <c r="S158" s="1">
        <v>4.7848530368631452E-2</v>
      </c>
    </row>
    <row r="159" spans="1:19" x14ac:dyDescent="0.3">
      <c r="A159" s="1">
        <v>907</v>
      </c>
      <c r="B159" s="1" t="s">
        <v>437</v>
      </c>
      <c r="C159" s="1" t="s">
        <v>438</v>
      </c>
      <c r="D159" s="1">
        <v>0.93200000000000005</v>
      </c>
      <c r="E159" s="1" t="s">
        <v>439</v>
      </c>
      <c r="F159" s="1" t="s">
        <v>440</v>
      </c>
      <c r="G159" s="1">
        <v>164.08275</v>
      </c>
      <c r="H159" s="2">
        <v>211259385.49316701</v>
      </c>
      <c r="I159" s="1" t="s">
        <v>23</v>
      </c>
      <c r="J159" s="1">
        <v>164.15647999999999</v>
      </c>
      <c r="K159" s="1">
        <v>165.09003000000001</v>
      </c>
      <c r="L159" s="7">
        <f>G159-J159</f>
        <v>-7.372999999998342E-2</v>
      </c>
      <c r="M159" s="1" t="s">
        <v>441</v>
      </c>
      <c r="N159" s="2">
        <v>4694450.6754709501</v>
      </c>
      <c r="O159" s="1">
        <v>141038527.299692</v>
      </c>
      <c r="P159" s="1">
        <v>211259385.49316701</v>
      </c>
      <c r="Q159" s="1">
        <f>STDEV(N159:P159)</f>
        <v>105031541.65311377</v>
      </c>
      <c r="R159" s="1">
        <v>118997454.48944332</v>
      </c>
      <c r="S159" s="1">
        <v>0.14592869626210922</v>
      </c>
    </row>
    <row r="160" spans="1:19" x14ac:dyDescent="0.3">
      <c r="A160" s="1">
        <v>640</v>
      </c>
      <c r="B160" s="1" t="s">
        <v>74</v>
      </c>
      <c r="C160" s="1" t="s">
        <v>75</v>
      </c>
      <c r="D160" s="1">
        <v>1.3009999999999999</v>
      </c>
      <c r="E160" s="1" t="s">
        <v>76</v>
      </c>
      <c r="F160" s="1" t="s">
        <v>77</v>
      </c>
      <c r="G160" s="1">
        <v>330.21472</v>
      </c>
      <c r="H160" s="2">
        <v>2647030426.76511</v>
      </c>
      <c r="I160" s="1" t="s">
        <v>23</v>
      </c>
      <c r="J160" s="1">
        <v>330.28886</v>
      </c>
      <c r="K160" s="1">
        <v>331.22199999999998</v>
      </c>
      <c r="L160" s="7">
        <f>G160-J160</f>
        <v>-7.4139999999999873E-2</v>
      </c>
      <c r="M160" s="1" t="s">
        <v>78</v>
      </c>
      <c r="N160" s="2">
        <v>90146810.049702898</v>
      </c>
      <c r="O160" s="1">
        <v>1413984898.8615401</v>
      </c>
      <c r="P160" s="1">
        <v>2647030426.76511</v>
      </c>
      <c r="Q160" s="1">
        <f>STDEV(N160:P160)</f>
        <v>1278710443.4220459</v>
      </c>
      <c r="R160" s="1">
        <v>1383720711.8921177</v>
      </c>
      <c r="S160" s="1">
        <v>1.6968813353499745</v>
      </c>
    </row>
    <row r="161" spans="1:19" x14ac:dyDescent="0.3">
      <c r="A161" s="1">
        <v>202</v>
      </c>
      <c r="B161" s="1" t="s">
        <v>3306</v>
      </c>
      <c r="C161" s="1" t="s">
        <v>3307</v>
      </c>
      <c r="D161" s="1">
        <v>16.431999999999999</v>
      </c>
      <c r="E161" s="1" t="s">
        <v>3308</v>
      </c>
      <c r="F161" s="1" t="s">
        <v>3309</v>
      </c>
      <c r="G161" s="1">
        <v>204.15006</v>
      </c>
      <c r="H161" s="2">
        <v>2528401.4125595698</v>
      </c>
      <c r="I161" s="1" t="s">
        <v>156</v>
      </c>
      <c r="J161" s="1">
        <v>204.22517999999999</v>
      </c>
      <c r="K161" s="1">
        <v>187.14681999999999</v>
      </c>
      <c r="L161" s="7">
        <f>G161-J161</f>
        <v>-7.5119999999998299E-2</v>
      </c>
      <c r="M161" s="1" t="s">
        <v>24</v>
      </c>
      <c r="N161" s="2">
        <v>1105337.0805876199</v>
      </c>
      <c r="O161" s="1">
        <v>1405696.88673008</v>
      </c>
      <c r="P161" s="1">
        <v>1329215.8641343601</v>
      </c>
      <c r="Q161" s="1">
        <f>STDEV(N161:P161)</f>
        <v>156091.35662894737</v>
      </c>
      <c r="R161" s="1">
        <v>1280083.2771506866</v>
      </c>
      <c r="S161" s="1">
        <v>1.569788904670223E-3</v>
      </c>
    </row>
    <row r="162" spans="1:19" x14ac:dyDescent="0.3">
      <c r="A162" s="1">
        <v>560</v>
      </c>
      <c r="B162" s="1" t="s">
        <v>1243</v>
      </c>
      <c r="C162" s="1" t="s">
        <v>1244</v>
      </c>
      <c r="D162" s="1">
        <v>9.5820000000000007</v>
      </c>
      <c r="E162" s="1" t="s">
        <v>1245</v>
      </c>
      <c r="F162" s="1" t="s">
        <v>1246</v>
      </c>
      <c r="G162" s="1">
        <v>240.13466</v>
      </c>
      <c r="H162" s="2">
        <v>29191530.597602502</v>
      </c>
      <c r="I162" s="1" t="s">
        <v>17</v>
      </c>
      <c r="J162" s="1">
        <v>240.21091999999999</v>
      </c>
      <c r="K162" s="1">
        <v>239.12737999999999</v>
      </c>
      <c r="L162" s="7">
        <f>G162-J162</f>
        <v>-7.6259999999990669E-2</v>
      </c>
      <c r="M162" s="1" t="s">
        <v>1247</v>
      </c>
      <c r="N162" s="2">
        <v>26066083.6049022</v>
      </c>
      <c r="O162" s="1">
        <v>29191530.597602502</v>
      </c>
      <c r="P162" s="1">
        <v>26428457.704794399</v>
      </c>
      <c r="Q162" s="1">
        <f>STDEV(N162:P162)</f>
        <v>1709498.2550163157</v>
      </c>
      <c r="R162" s="1">
        <v>27228690.635766368</v>
      </c>
      <c r="S162" s="1">
        <v>3.3391027921140834E-2</v>
      </c>
    </row>
    <row r="163" spans="1:19" x14ac:dyDescent="0.3">
      <c r="A163" s="1">
        <v>630</v>
      </c>
      <c r="B163" s="1" t="s">
        <v>3040</v>
      </c>
      <c r="C163" s="1" t="s">
        <v>3041</v>
      </c>
      <c r="D163" s="1">
        <v>1.3420000000000001</v>
      </c>
      <c r="E163" s="1" t="s">
        <v>3042</v>
      </c>
      <c r="F163" s="1" t="s">
        <v>3043</v>
      </c>
      <c r="G163" s="1">
        <v>254.16120000000001</v>
      </c>
      <c r="H163" s="2">
        <v>7519082.2063665902</v>
      </c>
      <c r="I163" s="1" t="s">
        <v>23</v>
      </c>
      <c r="J163" s="1">
        <v>254.23750000000001</v>
      </c>
      <c r="K163" s="1">
        <v>255.16847000000001</v>
      </c>
      <c r="L163" s="7">
        <f>G163-J163</f>
        <v>-7.6300000000003365E-2</v>
      </c>
      <c r="M163" s="1" t="s">
        <v>3044</v>
      </c>
      <c r="N163" s="2">
        <v>1614524.5799338</v>
      </c>
      <c r="O163" s="1">
        <v>1929686.1653843899</v>
      </c>
      <c r="P163" s="1">
        <v>2010686.7583589</v>
      </c>
      <c r="Q163" s="1">
        <f>STDEV(N163:P163)</f>
        <v>209297.39312776626</v>
      </c>
      <c r="R163" s="1">
        <v>1851632.5012256969</v>
      </c>
      <c r="S163" s="1">
        <v>2.270689890130257E-3</v>
      </c>
    </row>
    <row r="164" spans="1:19" x14ac:dyDescent="0.3">
      <c r="A164" s="1">
        <v>124</v>
      </c>
      <c r="B164" s="1" t="s">
        <v>1348</v>
      </c>
      <c r="C164" s="1" t="s">
        <v>1349</v>
      </c>
      <c r="D164" s="1">
        <v>13.547000000000001</v>
      </c>
      <c r="E164" s="1" t="s">
        <v>1350</v>
      </c>
      <c r="F164" s="1" t="s">
        <v>1351</v>
      </c>
      <c r="G164" s="1">
        <v>262.22793000000001</v>
      </c>
      <c r="H164" s="2">
        <v>41108261.992652103</v>
      </c>
      <c r="I164" s="1" t="s">
        <v>23</v>
      </c>
      <c r="J164" s="1">
        <v>262.30432000000002</v>
      </c>
      <c r="K164" s="1">
        <v>263.23520000000002</v>
      </c>
      <c r="L164" s="7">
        <f>G164-J164</f>
        <v>-7.6390000000003511E-2</v>
      </c>
      <c r="M164" s="1" t="s">
        <v>24</v>
      </c>
      <c r="N164" s="2">
        <v>14346943.120309601</v>
      </c>
      <c r="O164" s="1">
        <v>41108261.992652103</v>
      </c>
      <c r="P164" s="1">
        <v>5990555.3916603103</v>
      </c>
      <c r="Q164" s="1">
        <f>STDEV(N164:P164)</f>
        <v>18345075.27272673</v>
      </c>
      <c r="R164" s="1">
        <v>20481920.168207336</v>
      </c>
      <c r="S164" s="1">
        <v>2.511734322313805E-2</v>
      </c>
    </row>
    <row r="165" spans="1:19" x14ac:dyDescent="0.3">
      <c r="A165" s="1">
        <v>580</v>
      </c>
      <c r="B165" s="1" t="s">
        <v>2045</v>
      </c>
      <c r="C165" s="1" t="s">
        <v>2046</v>
      </c>
      <c r="D165" s="1">
        <v>7.4210000000000003</v>
      </c>
      <c r="E165" s="1" t="s">
        <v>2047</v>
      </c>
      <c r="F165" s="1" t="s">
        <v>2048</v>
      </c>
      <c r="G165" s="1">
        <v>242.15030999999999</v>
      </c>
      <c r="H165" s="2">
        <v>8944261.2000998203</v>
      </c>
      <c r="I165" s="1" t="s">
        <v>17</v>
      </c>
      <c r="J165" s="1">
        <v>242.2268</v>
      </c>
      <c r="K165" s="1">
        <v>241.14303000000001</v>
      </c>
      <c r="L165" s="7">
        <f>G165-J165</f>
        <v>-7.649000000000683E-2</v>
      </c>
      <c r="M165" s="1" t="s">
        <v>24</v>
      </c>
      <c r="N165" s="2">
        <v>4353938.2665120997</v>
      </c>
      <c r="O165" s="1">
        <v>8944261.2000998203</v>
      </c>
      <c r="P165" s="1">
        <v>7816642.5062746899</v>
      </c>
      <c r="Q165" s="1">
        <f>STDEV(N165:P165)</f>
        <v>2392101.9071573559</v>
      </c>
      <c r="R165" s="1">
        <v>7038280.6576288706</v>
      </c>
      <c r="S165" s="1">
        <v>8.6311688321510979E-3</v>
      </c>
    </row>
    <row r="166" spans="1:19" x14ac:dyDescent="0.3">
      <c r="A166" s="1">
        <v>621</v>
      </c>
      <c r="B166" s="1" t="s">
        <v>3432</v>
      </c>
      <c r="C166" s="1" t="s">
        <v>3433</v>
      </c>
      <c r="D166" s="1">
        <v>1.4710000000000001</v>
      </c>
      <c r="E166" s="1" t="s">
        <v>3434</v>
      </c>
      <c r="F166" s="1" t="s">
        <v>3435</v>
      </c>
      <c r="G166" s="1">
        <v>254.16098</v>
      </c>
      <c r="H166" s="2">
        <v>2963984.3954721</v>
      </c>
      <c r="I166" s="1" t="s">
        <v>23</v>
      </c>
      <c r="J166" s="1">
        <v>254.23750000000001</v>
      </c>
      <c r="K166" s="1">
        <v>255.16826</v>
      </c>
      <c r="L166" s="7">
        <f>G166-J166</f>
        <v>-7.6520000000016353E-2</v>
      </c>
      <c r="M166" s="1" t="s">
        <v>3044</v>
      </c>
      <c r="N166" s="2">
        <v>1055668.92603316</v>
      </c>
      <c r="O166" s="1">
        <v>1127240.7902860399</v>
      </c>
      <c r="P166" s="1">
        <v>1182608.53217557</v>
      </c>
      <c r="Q166" s="1">
        <f>STDEV(N166:P166)</f>
        <v>63641.943981110053</v>
      </c>
      <c r="R166" s="1">
        <v>1121839.4161649232</v>
      </c>
      <c r="S166" s="1">
        <v>1.3757316416454621E-3</v>
      </c>
    </row>
    <row r="167" spans="1:19" x14ac:dyDescent="0.3">
      <c r="A167" s="1">
        <v>620</v>
      </c>
      <c r="B167" s="1" t="s">
        <v>4142</v>
      </c>
      <c r="C167" s="1" t="s">
        <v>4143</v>
      </c>
      <c r="D167" s="1">
        <v>9.8309999999999995</v>
      </c>
      <c r="E167" s="1" t="s">
        <v>4144</v>
      </c>
      <c r="F167" s="1" t="s">
        <v>4145</v>
      </c>
      <c r="G167" s="1">
        <v>298.21287999999998</v>
      </c>
      <c r="H167" s="2">
        <v>1057638.57661506</v>
      </c>
      <c r="I167" s="1" t="s">
        <v>17</v>
      </c>
      <c r="J167" s="1">
        <v>298.29005999999998</v>
      </c>
      <c r="K167" s="1">
        <v>297.2056</v>
      </c>
      <c r="L167" s="7">
        <f>G167-J167</f>
        <v>-7.7179999999998472E-2</v>
      </c>
      <c r="M167" s="1" t="s">
        <v>24</v>
      </c>
      <c r="N167" s="2">
        <v>528480.24598817097</v>
      </c>
      <c r="O167" s="1">
        <v>455626.631364959</v>
      </c>
      <c r="P167" s="1">
        <v>437572.628346087</v>
      </c>
      <c r="Q167" s="1">
        <f>STDEV(N167:P167)</f>
        <v>48127.93910338058</v>
      </c>
      <c r="R167" s="1">
        <v>473893.1685664056</v>
      </c>
      <c r="S167" s="1">
        <v>5.8114362658531055E-4</v>
      </c>
    </row>
    <row r="168" spans="1:19" x14ac:dyDescent="0.3">
      <c r="A168" s="1">
        <v>483</v>
      </c>
      <c r="B168" s="1" t="s">
        <v>346</v>
      </c>
      <c r="C168" s="1" t="s">
        <v>347</v>
      </c>
      <c r="D168" s="1">
        <v>11.304</v>
      </c>
      <c r="E168" s="1" t="s">
        <v>348</v>
      </c>
      <c r="F168" s="1" t="s">
        <v>349</v>
      </c>
      <c r="G168" s="1">
        <v>274.19126999999997</v>
      </c>
      <c r="H168" s="2">
        <v>240094317.97868499</v>
      </c>
      <c r="I168" s="1" t="s">
        <v>23</v>
      </c>
      <c r="J168" s="1">
        <v>274.26866000000001</v>
      </c>
      <c r="K168" s="1">
        <v>275.19855000000001</v>
      </c>
      <c r="L168" s="7">
        <f>G168-J168</f>
        <v>-7.7390000000036707E-2</v>
      </c>
      <c r="M168" s="1" t="s">
        <v>350</v>
      </c>
      <c r="N168" s="2">
        <v>212210526.36025301</v>
      </c>
      <c r="O168" s="1">
        <v>165753262.33542699</v>
      </c>
      <c r="P168" s="1">
        <v>69593404.466796696</v>
      </c>
      <c r="Q168" s="1">
        <f>STDEV(N168:P168)</f>
        <v>72737701.254989386</v>
      </c>
      <c r="R168" s="1">
        <v>149185731.0541589</v>
      </c>
      <c r="S168" s="1">
        <v>0.18294911708026834</v>
      </c>
    </row>
    <row r="169" spans="1:19" x14ac:dyDescent="0.3">
      <c r="A169" s="1">
        <v>539</v>
      </c>
      <c r="B169" s="1" t="s">
        <v>1276</v>
      </c>
      <c r="C169" s="1" t="s">
        <v>1277</v>
      </c>
      <c r="D169" s="1">
        <v>1.032</v>
      </c>
      <c r="E169" s="1" t="s">
        <v>1278</v>
      </c>
      <c r="F169" s="1" t="s">
        <v>1279</v>
      </c>
      <c r="G169" s="1">
        <v>303.16618</v>
      </c>
      <c r="H169" s="2">
        <v>41629238.034089603</v>
      </c>
      <c r="I169" s="1" t="s">
        <v>23</v>
      </c>
      <c r="J169" s="1">
        <v>303.24364000000003</v>
      </c>
      <c r="K169" s="1">
        <v>304.17338000000001</v>
      </c>
      <c r="L169" s="7">
        <f>G169-J169</f>
        <v>-7.7460000000030504E-2</v>
      </c>
      <c r="M169" s="1" t="s">
        <v>1280</v>
      </c>
      <c r="N169" s="2">
        <v>32409365.7548966</v>
      </c>
      <c r="O169" s="1">
        <v>41629238.034089603</v>
      </c>
      <c r="P169" s="1">
        <v>4860804.41322554</v>
      </c>
      <c r="Q169" s="1">
        <f>STDEV(N169:P169)</f>
        <v>19130459.951659687</v>
      </c>
      <c r="R169" s="1">
        <v>26299802.734070584</v>
      </c>
      <c r="S169" s="1">
        <v>3.2251916155685907E-2</v>
      </c>
    </row>
    <row r="170" spans="1:19" x14ac:dyDescent="0.3">
      <c r="A170" s="1">
        <v>1009</v>
      </c>
      <c r="B170" s="1" t="s">
        <v>1095</v>
      </c>
      <c r="C170" s="1" t="s">
        <v>1096</v>
      </c>
      <c r="D170" s="1">
        <v>14.042</v>
      </c>
      <c r="E170" s="1" t="s">
        <v>1097</v>
      </c>
      <c r="F170" s="1" t="s">
        <v>1098</v>
      </c>
      <c r="G170" s="1">
        <v>280.23824999999999</v>
      </c>
      <c r="H170" s="2">
        <v>43583806.055331998</v>
      </c>
      <c r="I170" s="1" t="s">
        <v>156</v>
      </c>
      <c r="J170" s="1">
        <v>280.31630000000001</v>
      </c>
      <c r="K170" s="1">
        <v>263.23509999999999</v>
      </c>
      <c r="L170" s="7">
        <f>G170-J170</f>
        <v>-7.8050000000018827E-2</v>
      </c>
      <c r="M170" s="1" t="s">
        <v>24</v>
      </c>
      <c r="N170" s="2">
        <v>43583806.055331998</v>
      </c>
      <c r="O170" s="1">
        <v>41108261.992652103</v>
      </c>
      <c r="P170" s="1">
        <v>16373410.7063288</v>
      </c>
      <c r="Q170" s="1">
        <f>STDEV(N170:P170)</f>
        <v>15046299.664767282</v>
      </c>
      <c r="R170" s="1">
        <v>33688492.918104298</v>
      </c>
      <c r="S170" s="1">
        <v>4.1312798426376307E-2</v>
      </c>
    </row>
    <row r="171" spans="1:19" x14ac:dyDescent="0.3">
      <c r="A171" s="1">
        <v>450</v>
      </c>
      <c r="B171" s="1" t="s">
        <v>1888</v>
      </c>
      <c r="C171" s="1" t="s">
        <v>1889</v>
      </c>
      <c r="D171" s="1">
        <v>7.8079999999999998</v>
      </c>
      <c r="E171" s="1" t="s">
        <v>1890</v>
      </c>
      <c r="F171" s="1" t="s">
        <v>1891</v>
      </c>
      <c r="G171" s="1">
        <v>328.23775999999998</v>
      </c>
      <c r="H171" s="2">
        <v>10319054.5585788</v>
      </c>
      <c r="I171" s="1" t="s">
        <v>23</v>
      </c>
      <c r="J171" s="1">
        <v>328.31603999999999</v>
      </c>
      <c r="K171" s="1">
        <v>329.24491</v>
      </c>
      <c r="L171" s="7">
        <f>G171-J171</f>
        <v>-7.8280000000006567E-2</v>
      </c>
      <c r="M171" s="1" t="s">
        <v>1648</v>
      </c>
      <c r="N171" s="2">
        <v>10319054.5585788</v>
      </c>
      <c r="O171" s="1">
        <v>8678842.7896622308</v>
      </c>
      <c r="P171" s="1">
        <v>6186232.2946990402</v>
      </c>
      <c r="Q171" s="1">
        <f>STDEV(N171:P171)</f>
        <v>2081010.2350906923</v>
      </c>
      <c r="R171" s="1">
        <v>8394709.8809800241</v>
      </c>
      <c r="S171" s="1">
        <v>1.0294582129391159E-2</v>
      </c>
    </row>
    <row r="172" spans="1:19" x14ac:dyDescent="0.3">
      <c r="A172" s="1">
        <v>906</v>
      </c>
      <c r="B172" s="1" t="s">
        <v>4303</v>
      </c>
      <c r="C172" s="1" t="s">
        <v>4304</v>
      </c>
      <c r="D172" s="1">
        <v>23.826000000000001</v>
      </c>
      <c r="E172" s="1" t="s">
        <v>4305</v>
      </c>
      <c r="F172" s="1" t="s">
        <v>4306</v>
      </c>
      <c r="G172" s="1">
        <v>150.05160000000001</v>
      </c>
      <c r="H172" s="2">
        <v>576245.98170406499</v>
      </c>
      <c r="I172" s="1" t="s">
        <v>139</v>
      </c>
      <c r="J172" s="1">
        <v>150.12989999999999</v>
      </c>
      <c r="K172" s="1">
        <v>195.04938000000001</v>
      </c>
      <c r="L172" s="7">
        <f>G172-J172</f>
        <v>-7.8299999999984493E-2</v>
      </c>
      <c r="M172" s="1" t="s">
        <v>24</v>
      </c>
      <c r="N172" s="2">
        <v>223842.325101686</v>
      </c>
      <c r="O172" s="1">
        <v>576245.98170406499</v>
      </c>
      <c r="P172" s="1">
        <v>168362.10145947899</v>
      </c>
      <c r="Q172" s="1">
        <f>STDEV(N172:P172)</f>
        <v>221222.23071137338</v>
      </c>
      <c r="R172" s="1">
        <v>322816.80275507667</v>
      </c>
      <c r="S172" s="1">
        <v>3.9587599045431634E-4</v>
      </c>
    </row>
    <row r="173" spans="1:19" x14ac:dyDescent="0.3">
      <c r="A173" s="1">
        <v>510</v>
      </c>
      <c r="B173" s="1" t="s">
        <v>2344</v>
      </c>
      <c r="C173" s="1" t="s">
        <v>2345</v>
      </c>
      <c r="D173" s="1">
        <v>0.106</v>
      </c>
      <c r="E173" s="1" t="s">
        <v>2346</v>
      </c>
      <c r="F173" s="1" t="s">
        <v>2347</v>
      </c>
      <c r="G173" s="1">
        <v>202.17063999999999</v>
      </c>
      <c r="H173" s="2">
        <v>8070439.8603001097</v>
      </c>
      <c r="I173" s="1" t="s">
        <v>23</v>
      </c>
      <c r="J173" s="1">
        <v>202.24905999999999</v>
      </c>
      <c r="K173" s="1">
        <v>203.17814999999999</v>
      </c>
      <c r="L173" s="7">
        <f>G173-J173</f>
        <v>-7.8419999999994161E-2</v>
      </c>
      <c r="M173" s="1" t="s">
        <v>24</v>
      </c>
      <c r="N173" s="2">
        <v>8070439.8603001097</v>
      </c>
      <c r="O173" s="1">
        <v>2288587.33553736</v>
      </c>
      <c r="P173" s="1">
        <v>3366857.3407217101</v>
      </c>
      <c r="Q173" s="1">
        <f>STDEV(N173:P173)</f>
        <v>3074523.6308700233</v>
      </c>
      <c r="R173" s="1">
        <v>4575294.8455197262</v>
      </c>
      <c r="S173" s="1">
        <v>5.6107654965062564E-3</v>
      </c>
    </row>
    <row r="174" spans="1:19" x14ac:dyDescent="0.3">
      <c r="A174" s="1">
        <v>563</v>
      </c>
      <c r="B174" s="1" t="s">
        <v>1590</v>
      </c>
      <c r="C174" s="1" t="s">
        <v>1591</v>
      </c>
      <c r="D174" s="1">
        <v>0.17</v>
      </c>
      <c r="E174" s="1" t="s">
        <v>1592</v>
      </c>
      <c r="F174" s="1" t="s">
        <v>1593</v>
      </c>
      <c r="G174" s="1">
        <v>350.24268999999998</v>
      </c>
      <c r="H174" s="2">
        <v>24135169.604355101</v>
      </c>
      <c r="I174" s="1" t="s">
        <v>344</v>
      </c>
      <c r="J174" s="1">
        <v>350.32155999999998</v>
      </c>
      <c r="K174" s="1">
        <v>383.27596999999997</v>
      </c>
      <c r="L174" s="7">
        <f>G174-J174</f>
        <v>-7.8869999999994889E-2</v>
      </c>
      <c r="M174" s="1" t="s">
        <v>24</v>
      </c>
      <c r="N174" s="2">
        <v>1024976.41317685</v>
      </c>
      <c r="O174" s="1">
        <v>15239486.479008101</v>
      </c>
      <c r="P174" s="1">
        <v>24135169.604355101</v>
      </c>
      <c r="Q174" s="1">
        <f>STDEV(N174:P174)</f>
        <v>11656661.214457186</v>
      </c>
      <c r="R174" s="1">
        <v>13466544.165513352</v>
      </c>
      <c r="S174" s="1">
        <v>1.6514262776972367E-2</v>
      </c>
    </row>
    <row r="175" spans="1:19" x14ac:dyDescent="0.3">
      <c r="A175" s="1">
        <v>678</v>
      </c>
      <c r="B175" s="1" t="s">
        <v>2378</v>
      </c>
      <c r="C175" s="1" t="s">
        <v>2379</v>
      </c>
      <c r="D175" s="1">
        <v>21.486000000000001</v>
      </c>
      <c r="E175" s="1" t="s">
        <v>2380</v>
      </c>
      <c r="F175" s="1" t="s">
        <v>2381</v>
      </c>
      <c r="G175" s="1">
        <v>370.31610999999998</v>
      </c>
      <c r="H175" s="2">
        <v>15881714.899020599</v>
      </c>
      <c r="I175" s="1" t="s">
        <v>150</v>
      </c>
      <c r="J175" s="1">
        <v>370.39578</v>
      </c>
      <c r="K175" s="1">
        <v>393.30502000000001</v>
      </c>
      <c r="L175" s="7">
        <f>G175-J175</f>
        <v>-7.9670000000021446E-2</v>
      </c>
      <c r="M175" s="1" t="s">
        <v>2382</v>
      </c>
      <c r="N175" s="2">
        <v>3847948.4388802098</v>
      </c>
      <c r="O175" s="1">
        <v>4561987.4528364995</v>
      </c>
      <c r="P175" s="1">
        <v>4674893.6888328101</v>
      </c>
      <c r="Q175" s="1">
        <f>STDEV(N175:P175)</f>
        <v>448411.63715156744</v>
      </c>
      <c r="R175" s="1">
        <v>4361609.8601831729</v>
      </c>
      <c r="S175" s="1">
        <v>5.3487197959932471E-3</v>
      </c>
    </row>
    <row r="176" spans="1:19" x14ac:dyDescent="0.3">
      <c r="A176" s="1">
        <v>585</v>
      </c>
      <c r="B176" s="1" t="s">
        <v>1640</v>
      </c>
      <c r="C176" s="1" t="s">
        <v>1641</v>
      </c>
      <c r="D176" s="1">
        <v>7.0709999999999997</v>
      </c>
      <c r="E176" s="1" t="s">
        <v>1642</v>
      </c>
      <c r="F176" s="1" t="s">
        <v>1643</v>
      </c>
      <c r="G176" s="1">
        <v>204.09822</v>
      </c>
      <c r="H176" s="2">
        <v>22722503.2491672</v>
      </c>
      <c r="I176" s="1" t="s">
        <v>17</v>
      </c>
      <c r="J176" s="1">
        <v>204.17882</v>
      </c>
      <c r="K176" s="1">
        <v>203.09044</v>
      </c>
      <c r="L176" s="7">
        <f>G176-J176</f>
        <v>-8.0600000000004002E-2</v>
      </c>
      <c r="M176" s="1" t="s">
        <v>939</v>
      </c>
      <c r="N176" s="2">
        <v>6099433.56033401</v>
      </c>
      <c r="O176" s="1">
        <v>22722503.2491672</v>
      </c>
      <c r="P176" s="1">
        <v>8880417.7551476993</v>
      </c>
      <c r="Q176" s="1">
        <f>STDEV(N176:P176)</f>
        <v>8903778.6903029103</v>
      </c>
      <c r="R176" s="1">
        <v>12567451.521549636</v>
      </c>
      <c r="S176" s="1">
        <v>1.5411689466346488E-2</v>
      </c>
    </row>
    <row r="177" spans="1:19" x14ac:dyDescent="0.3">
      <c r="A177" s="1">
        <v>670</v>
      </c>
      <c r="B177" s="1" t="s">
        <v>102</v>
      </c>
      <c r="C177" s="1" t="s">
        <v>103</v>
      </c>
      <c r="D177" s="1">
        <v>6.8440000000000003</v>
      </c>
      <c r="E177" s="1" t="s">
        <v>104</v>
      </c>
      <c r="F177" s="1" t="s">
        <v>105</v>
      </c>
      <c r="G177" s="1">
        <v>282.16579000000002</v>
      </c>
      <c r="H177" s="2">
        <v>1378977016.9841399</v>
      </c>
      <c r="I177" s="1" t="s">
        <v>23</v>
      </c>
      <c r="J177" s="1">
        <v>282.24759999999998</v>
      </c>
      <c r="K177" s="1">
        <v>283.17309999999998</v>
      </c>
      <c r="L177" s="7">
        <f>G177-J177</f>
        <v>-8.1809999999961747E-2</v>
      </c>
      <c r="M177" s="1" t="s">
        <v>106</v>
      </c>
      <c r="N177" s="2">
        <v>431055769.12837702</v>
      </c>
      <c r="O177" s="1">
        <v>952451365.39497197</v>
      </c>
      <c r="P177" s="1">
        <v>1378977016.9841399</v>
      </c>
      <c r="Q177" s="1">
        <f>STDEV(N177:P177)</f>
        <v>474751196.48895878</v>
      </c>
      <c r="R177" s="1">
        <v>920828050.50249636</v>
      </c>
      <c r="S177" s="1">
        <v>1.1292278264938</v>
      </c>
    </row>
    <row r="178" spans="1:19" x14ac:dyDescent="0.3">
      <c r="A178" s="1">
        <v>745</v>
      </c>
      <c r="B178" s="1" t="s">
        <v>4043</v>
      </c>
      <c r="C178" s="1" t="s">
        <v>4044</v>
      </c>
      <c r="D178" s="1">
        <v>2.9000000000000001E-2</v>
      </c>
      <c r="E178" s="1" t="s">
        <v>4045</v>
      </c>
      <c r="F178" s="1" t="s">
        <v>4046</v>
      </c>
      <c r="G178" s="1">
        <v>168.15031999999999</v>
      </c>
      <c r="H178" s="2">
        <v>874202.74899703299</v>
      </c>
      <c r="I178" s="1" t="s">
        <v>398</v>
      </c>
      <c r="J178" s="1">
        <v>168.23284000000001</v>
      </c>
      <c r="K178" s="1">
        <v>186.18413000000001</v>
      </c>
      <c r="L178" s="7">
        <f>G178-J178</f>
        <v>-8.252000000001658E-2</v>
      </c>
      <c r="M178" s="1" t="s">
        <v>24</v>
      </c>
      <c r="N178" s="2">
        <v>153919.50962224801</v>
      </c>
      <c r="O178" s="1">
        <v>720336.27969931404</v>
      </c>
      <c r="P178" s="1">
        <v>874202.74899703299</v>
      </c>
      <c r="Q178" s="1">
        <f>STDEV(N178:P178)</f>
        <v>379321.93730456196</v>
      </c>
      <c r="R178" s="1">
        <v>582819.51277286501</v>
      </c>
      <c r="S178" s="1">
        <v>7.1472194106981504E-4</v>
      </c>
    </row>
    <row r="179" spans="1:19" x14ac:dyDescent="0.3">
      <c r="A179" s="1">
        <v>661</v>
      </c>
      <c r="B179" s="1" t="s">
        <v>2140</v>
      </c>
      <c r="C179" s="1" t="s">
        <v>2141</v>
      </c>
      <c r="D179" s="1">
        <v>14.157999999999999</v>
      </c>
      <c r="E179" s="1" t="s">
        <v>2142</v>
      </c>
      <c r="F179" s="1" t="s">
        <v>2143</v>
      </c>
      <c r="G179" s="1">
        <v>366.23793000000001</v>
      </c>
      <c r="H179" s="2">
        <v>74329975.727840602</v>
      </c>
      <c r="I179" s="1" t="s">
        <v>17</v>
      </c>
      <c r="J179" s="1">
        <v>366.32096000000001</v>
      </c>
      <c r="K179" s="1">
        <v>365.23065000000003</v>
      </c>
      <c r="L179" s="7">
        <f>G179-J179</f>
        <v>-8.3030000000007931E-2</v>
      </c>
      <c r="M179" s="1" t="s">
        <v>1712</v>
      </c>
      <c r="N179" s="2">
        <v>9314223.07169508</v>
      </c>
      <c r="O179" s="1">
        <v>4666967.3090965599</v>
      </c>
      <c r="P179" s="1">
        <v>4663815.1252952097</v>
      </c>
      <c r="Q179" s="1">
        <f>STDEV(N179:P179)</f>
        <v>2684004.7853660462</v>
      </c>
      <c r="R179" s="1">
        <v>6215001.8353622826</v>
      </c>
      <c r="S179" s="1">
        <v>7.6215673603462876E-3</v>
      </c>
    </row>
    <row r="180" spans="1:19" x14ac:dyDescent="0.3">
      <c r="A180" s="1">
        <v>415</v>
      </c>
      <c r="B180" s="1" t="s">
        <v>986</v>
      </c>
      <c r="C180" s="1" t="s">
        <v>987</v>
      </c>
      <c r="D180" s="1">
        <v>8.8260000000000005</v>
      </c>
      <c r="E180" s="1" t="s">
        <v>988</v>
      </c>
      <c r="F180" s="1" t="s">
        <v>989</v>
      </c>
      <c r="G180" s="1">
        <v>245.23374999999999</v>
      </c>
      <c r="H180" s="2">
        <v>405791376.64368701</v>
      </c>
      <c r="I180" s="1" t="s">
        <v>23</v>
      </c>
      <c r="J180" s="1">
        <v>245.31685999999999</v>
      </c>
      <c r="K180" s="1">
        <v>246.24102999999999</v>
      </c>
      <c r="L180" s="7">
        <f>G180-J180</f>
        <v>-8.3110000000004902E-2</v>
      </c>
      <c r="M180" s="1" t="s">
        <v>738</v>
      </c>
      <c r="N180" s="2">
        <v>61007602.270793997</v>
      </c>
      <c r="O180" s="1">
        <v>33797987.8240126</v>
      </c>
      <c r="P180" s="1">
        <v>30788947.388859302</v>
      </c>
      <c r="Q180" s="1">
        <f>STDEV(N180:P180)</f>
        <v>16646243.548001843</v>
      </c>
      <c r="R180" s="1">
        <v>41864845.82788863</v>
      </c>
      <c r="S180" s="1">
        <v>5.1339605515847118E-2</v>
      </c>
    </row>
    <row r="181" spans="1:19" x14ac:dyDescent="0.3">
      <c r="A181" s="1">
        <v>636</v>
      </c>
      <c r="B181" s="1" t="s">
        <v>1417</v>
      </c>
      <c r="C181" s="1" t="s">
        <v>1418</v>
      </c>
      <c r="D181" s="1">
        <v>7.8220000000000001</v>
      </c>
      <c r="E181" s="1" t="s">
        <v>1419</v>
      </c>
      <c r="F181" s="1" t="s">
        <v>1420</v>
      </c>
      <c r="G181" s="1">
        <v>268.18074000000001</v>
      </c>
      <c r="H181" s="2">
        <v>81889626.898595899</v>
      </c>
      <c r="I181" s="1" t="s">
        <v>23</v>
      </c>
      <c r="J181" s="1">
        <v>268.26407999999998</v>
      </c>
      <c r="K181" s="1">
        <v>269.18792999999999</v>
      </c>
      <c r="L181" s="7">
        <f>G181-J181</f>
        <v>-8.333999999996422E-2</v>
      </c>
      <c r="M181" s="1" t="s">
        <v>1050</v>
      </c>
      <c r="N181" s="2">
        <v>12937344.1111145</v>
      </c>
      <c r="O181" s="1">
        <v>16696738.029764401</v>
      </c>
      <c r="P181" s="1">
        <v>24535688.351553999</v>
      </c>
      <c r="Q181" s="1">
        <f>STDEV(N181:P181)</f>
        <v>5917541.3518172605</v>
      </c>
      <c r="R181" s="1">
        <v>18056590.1641443</v>
      </c>
      <c r="S181" s="1">
        <v>2.2143117875068161E-2</v>
      </c>
    </row>
    <row r="182" spans="1:19" x14ac:dyDescent="0.3">
      <c r="A182" s="1">
        <v>600</v>
      </c>
      <c r="B182" s="1" t="s">
        <v>4586</v>
      </c>
      <c r="C182" s="1" t="s">
        <v>4587</v>
      </c>
      <c r="D182" s="1">
        <v>17.468</v>
      </c>
      <c r="E182" s="1" t="s">
        <v>4588</v>
      </c>
      <c r="F182" s="1" t="s">
        <v>4589</v>
      </c>
      <c r="G182" s="1">
        <v>242.18644</v>
      </c>
      <c r="H182" s="2">
        <v>640749.19325262203</v>
      </c>
      <c r="I182" s="1" t="s">
        <v>17</v>
      </c>
      <c r="J182" s="1">
        <v>242.26985999999999</v>
      </c>
      <c r="K182" s="1">
        <v>241.17922999999999</v>
      </c>
      <c r="L182" s="7">
        <f>G182-J182</f>
        <v>-8.3419999999989614E-2</v>
      </c>
      <c r="M182" s="1" t="s">
        <v>24</v>
      </c>
      <c r="N182" s="2">
        <v>78088.734304511003</v>
      </c>
      <c r="O182" s="1">
        <v>117349.88373892401</v>
      </c>
      <c r="P182" s="1">
        <v>87417.851454640593</v>
      </c>
      <c r="Q182" s="1">
        <f>STDEV(N182:P182)</f>
        <v>20511.772385549502</v>
      </c>
      <c r="R182" s="1">
        <v>94285.489832691863</v>
      </c>
      <c r="S182" s="1">
        <v>1.1562397419971436E-4</v>
      </c>
    </row>
    <row r="183" spans="1:19" x14ac:dyDescent="0.3">
      <c r="A183" s="1">
        <v>436</v>
      </c>
      <c r="B183" s="1" t="s">
        <v>4087</v>
      </c>
      <c r="C183" s="1" t="s">
        <v>4088</v>
      </c>
      <c r="D183" s="1">
        <v>11.026999999999999</v>
      </c>
      <c r="E183" s="1" t="s">
        <v>4089</v>
      </c>
      <c r="F183" s="1" t="s">
        <v>4090</v>
      </c>
      <c r="G183" s="1">
        <v>297.26479999999998</v>
      </c>
      <c r="H183" s="2">
        <v>1427751.1953620501</v>
      </c>
      <c r="I183" s="1" t="s">
        <v>156</v>
      </c>
      <c r="J183" s="1">
        <v>297.34836000000001</v>
      </c>
      <c r="K183" s="1">
        <v>280.26157999999998</v>
      </c>
      <c r="L183" s="7">
        <f>G183-J183</f>
        <v>-8.3560000000034051E-2</v>
      </c>
      <c r="M183" s="1" t="s">
        <v>24</v>
      </c>
      <c r="N183" s="2">
        <v>595486.90582381398</v>
      </c>
      <c r="O183" s="1">
        <v>576475.10249813006</v>
      </c>
      <c r="P183" s="1">
        <v>416710.06140780001</v>
      </c>
      <c r="Q183" s="1">
        <f>STDEV(N183:P183)</f>
        <v>98189.84767584721</v>
      </c>
      <c r="R183" s="1">
        <v>529557.35657658137</v>
      </c>
      <c r="S183" s="1">
        <v>6.4940561100897316E-4</v>
      </c>
    </row>
    <row r="184" spans="1:19" x14ac:dyDescent="0.3">
      <c r="A184" s="1">
        <v>686</v>
      </c>
      <c r="B184" s="1" t="s">
        <v>1315</v>
      </c>
      <c r="C184" s="1" t="s">
        <v>1316</v>
      </c>
      <c r="D184" s="1">
        <v>12.090999999999999</v>
      </c>
      <c r="E184" s="1" t="s">
        <v>1317</v>
      </c>
      <c r="F184" s="1" t="s">
        <v>1318</v>
      </c>
      <c r="G184" s="1">
        <v>272.21199000000001</v>
      </c>
      <c r="H184" s="2">
        <v>39582712.992660701</v>
      </c>
      <c r="I184" s="1" t="s">
        <v>23</v>
      </c>
      <c r="J184" s="1">
        <v>272.29584</v>
      </c>
      <c r="K184" s="1">
        <v>273.21926999999999</v>
      </c>
      <c r="L184" s="7">
        <f>G184-J184</f>
        <v>-8.3849999999983993E-2</v>
      </c>
      <c r="M184" s="1" t="s">
        <v>1319</v>
      </c>
      <c r="N184" s="2">
        <v>23052077.3373309</v>
      </c>
      <c r="O184" s="1">
        <v>33195457.940955602</v>
      </c>
      <c r="P184" s="1">
        <v>17988717.115379699</v>
      </c>
      <c r="Q184" s="1">
        <f>STDEV(N184:P184)</f>
        <v>7743499.9983153855</v>
      </c>
      <c r="R184" s="1">
        <v>24745417.464555401</v>
      </c>
      <c r="S184" s="1">
        <v>3.0345745835971209E-2</v>
      </c>
    </row>
    <row r="185" spans="1:19" x14ac:dyDescent="0.3">
      <c r="A185" s="1">
        <v>556</v>
      </c>
      <c r="B185" s="1" t="s">
        <v>2016</v>
      </c>
      <c r="C185" s="1" t="s">
        <v>2017</v>
      </c>
      <c r="D185" s="1">
        <v>1.9259999999999999</v>
      </c>
      <c r="E185" s="1" t="s">
        <v>2018</v>
      </c>
      <c r="F185" s="1" t="s">
        <v>2019</v>
      </c>
      <c r="G185" s="1">
        <v>301.18662999999998</v>
      </c>
      <c r="H185" s="2">
        <v>82219038.025005907</v>
      </c>
      <c r="I185" s="1" t="s">
        <v>23</v>
      </c>
      <c r="J185" s="1">
        <v>301.27082000000001</v>
      </c>
      <c r="K185" s="1">
        <v>302.19391000000002</v>
      </c>
      <c r="L185" s="7">
        <f>G185-J185</f>
        <v>-8.419000000003507E-2</v>
      </c>
      <c r="M185" s="1" t="s">
        <v>2020</v>
      </c>
      <c r="N185" s="2">
        <v>8970161.0046172999</v>
      </c>
      <c r="O185" s="1">
        <v>6715227.8945665704</v>
      </c>
      <c r="P185" s="1">
        <v>6183371.43934754</v>
      </c>
      <c r="Q185" s="1">
        <f>STDEV(N185:P185)</f>
        <v>1479515.1627508281</v>
      </c>
      <c r="R185" s="1">
        <v>7289586.7795104692</v>
      </c>
      <c r="S185" s="1">
        <v>8.9393500019602536E-3</v>
      </c>
    </row>
    <row r="186" spans="1:19" x14ac:dyDescent="0.3">
      <c r="A186" s="1">
        <v>28</v>
      </c>
      <c r="B186" s="1" t="s">
        <v>1864</v>
      </c>
      <c r="C186" s="1" t="s">
        <v>1865</v>
      </c>
      <c r="D186" s="1">
        <v>9.5730000000000004</v>
      </c>
      <c r="E186" s="1" t="s">
        <v>1866</v>
      </c>
      <c r="F186" s="1" t="s">
        <v>1867</v>
      </c>
      <c r="G186" s="1">
        <v>340.20121</v>
      </c>
      <c r="H186" s="2">
        <v>10270906.2527226</v>
      </c>
      <c r="I186" s="1" t="s">
        <v>23</v>
      </c>
      <c r="J186" s="1">
        <v>340.28543999999999</v>
      </c>
      <c r="K186" s="1">
        <v>341.20850000000002</v>
      </c>
      <c r="L186" s="7">
        <f>G186-J186</f>
        <v>-8.4229999999990923E-2</v>
      </c>
      <c r="M186" s="1" t="s">
        <v>1868</v>
      </c>
      <c r="N186" s="2">
        <v>10270906.2527226</v>
      </c>
      <c r="O186" s="1">
        <v>7638913.9842648897</v>
      </c>
      <c r="P186" s="1">
        <v>8938144.1315210294</v>
      </c>
      <c r="Q186" s="1">
        <f>STDEV(N186:P186)</f>
        <v>1316031.7339430046</v>
      </c>
      <c r="R186" s="1">
        <v>8949321.4561695065</v>
      </c>
      <c r="S186" s="1">
        <v>1.0974712174580117E-2</v>
      </c>
    </row>
    <row r="187" spans="1:19" x14ac:dyDescent="0.3">
      <c r="A187" s="1">
        <v>480</v>
      </c>
      <c r="B187" s="1" t="s">
        <v>3695</v>
      </c>
      <c r="C187" s="1" t="s">
        <v>3696</v>
      </c>
      <c r="D187" s="1">
        <v>14.587999999999999</v>
      </c>
      <c r="E187" s="1" t="s">
        <v>3697</v>
      </c>
      <c r="F187" s="1" t="s">
        <v>3698</v>
      </c>
      <c r="G187" s="1">
        <v>610.47559999999999</v>
      </c>
      <c r="H187" s="2">
        <v>536386646.40764999</v>
      </c>
      <c r="I187" s="1" t="s">
        <v>398</v>
      </c>
      <c r="J187" s="1">
        <v>610.56056000000001</v>
      </c>
      <c r="K187" s="1">
        <v>628.50945999999999</v>
      </c>
      <c r="L187" s="7">
        <f>G187-J187</f>
        <v>-8.4960000000023683E-2</v>
      </c>
      <c r="M187" s="1" t="s">
        <v>3622</v>
      </c>
      <c r="N187" s="2">
        <v>877189.57042848796</v>
      </c>
      <c r="O187" s="1">
        <v>931087.85587247205</v>
      </c>
      <c r="P187" s="1">
        <v>765521.03989487397</v>
      </c>
      <c r="Q187" s="1">
        <f>STDEV(N187:P187)</f>
        <v>84446.488419489353</v>
      </c>
      <c r="R187" s="1">
        <v>857932.82206527796</v>
      </c>
      <c r="S187" s="1">
        <v>1.0520982885021699E-3</v>
      </c>
    </row>
    <row r="188" spans="1:19" x14ac:dyDescent="0.3">
      <c r="A188" s="1">
        <v>531</v>
      </c>
      <c r="B188" s="1" t="s">
        <v>2475</v>
      </c>
      <c r="C188" s="1" t="s">
        <v>2476</v>
      </c>
      <c r="D188" s="1">
        <v>3.1360000000000001</v>
      </c>
      <c r="E188" s="1" t="s">
        <v>2477</v>
      </c>
      <c r="F188" s="1" t="s">
        <v>2478</v>
      </c>
      <c r="G188" s="1">
        <v>286.15102000000002</v>
      </c>
      <c r="H188" s="2">
        <v>8476858.1285935603</v>
      </c>
      <c r="I188" s="1" t="s">
        <v>23</v>
      </c>
      <c r="J188" s="1">
        <v>286.23630000000003</v>
      </c>
      <c r="K188" s="1">
        <v>287.15829000000002</v>
      </c>
      <c r="L188" s="7">
        <f>G188-J188</f>
        <v>-8.5280000000011569E-2</v>
      </c>
      <c r="M188" s="1" t="s">
        <v>2479</v>
      </c>
      <c r="N188" s="2">
        <v>2852887.9184002099</v>
      </c>
      <c r="O188" s="1">
        <v>3805431.3977551302</v>
      </c>
      <c r="P188" s="1">
        <v>4421547.8897001296</v>
      </c>
      <c r="Q188" s="1">
        <f>STDEV(N188:P188)</f>
        <v>790319.84213848808</v>
      </c>
      <c r="R188" s="1">
        <v>3693289.0686184899</v>
      </c>
      <c r="S188" s="1">
        <v>4.5291461150575169E-3</v>
      </c>
    </row>
    <row r="189" spans="1:19" x14ac:dyDescent="0.3">
      <c r="A189" s="1">
        <v>889</v>
      </c>
      <c r="B189" s="1" t="s">
        <v>2716</v>
      </c>
      <c r="C189" s="1" t="s">
        <v>2717</v>
      </c>
      <c r="D189" s="1">
        <v>0.62</v>
      </c>
      <c r="E189" s="1" t="s">
        <v>2718</v>
      </c>
      <c r="F189" s="1" t="s">
        <v>2719</v>
      </c>
      <c r="G189" s="1">
        <v>194.05408</v>
      </c>
      <c r="H189" s="2">
        <v>3695754.93581165</v>
      </c>
      <c r="I189" s="1" t="s">
        <v>23</v>
      </c>
      <c r="J189" s="1">
        <v>194.13939999999999</v>
      </c>
      <c r="K189" s="1">
        <v>195.06128000000001</v>
      </c>
      <c r="L189" s="7">
        <f>G189-J189</f>
        <v>-8.5319999999995844E-2</v>
      </c>
      <c r="M189" s="1" t="s">
        <v>2720</v>
      </c>
      <c r="N189" s="2">
        <v>2200032.0523474999</v>
      </c>
      <c r="O189" s="1">
        <v>2192754.3586209901</v>
      </c>
      <c r="P189" s="1">
        <v>3695754.93581165</v>
      </c>
      <c r="Q189" s="1">
        <f>STDEV(N189:P189)</f>
        <v>865664.54665185232</v>
      </c>
      <c r="R189" s="1">
        <v>2696180.4489267133</v>
      </c>
      <c r="S189" s="1">
        <v>3.3063740689862234E-3</v>
      </c>
    </row>
    <row r="190" spans="1:19" x14ac:dyDescent="0.3">
      <c r="A190" s="1">
        <v>1008</v>
      </c>
      <c r="B190" s="1" t="s">
        <v>3727</v>
      </c>
      <c r="C190" s="1" t="s">
        <v>3728</v>
      </c>
      <c r="D190" s="1">
        <v>10.688000000000001</v>
      </c>
      <c r="E190" s="1"/>
      <c r="F190" s="1" t="s">
        <v>3729</v>
      </c>
      <c r="G190" s="1">
        <v>282.25438000000003</v>
      </c>
      <c r="H190" s="2">
        <v>1454647.50075547</v>
      </c>
      <c r="I190" s="1" t="s">
        <v>23</v>
      </c>
      <c r="J190" s="1">
        <v>282.33999999999997</v>
      </c>
      <c r="K190" s="1">
        <v>283.26166000000001</v>
      </c>
      <c r="L190" s="7">
        <f>G190-J190</f>
        <v>-8.5619999999948959E-2</v>
      </c>
      <c r="M190" s="1" t="s">
        <v>24</v>
      </c>
      <c r="N190" s="2">
        <v>503863.33079549699</v>
      </c>
      <c r="O190" s="1">
        <v>534471.50964262895</v>
      </c>
      <c r="P190" s="1">
        <v>1454647.50075547</v>
      </c>
      <c r="Q190" s="1">
        <f>STDEV(N190:P190)</f>
        <v>540316.45867326576</v>
      </c>
      <c r="R190" s="1">
        <v>830994.11373119859</v>
      </c>
      <c r="S190" s="1">
        <v>1.0190628710384612E-3</v>
      </c>
    </row>
    <row r="191" spans="1:19" x14ac:dyDescent="0.3">
      <c r="A191" s="1">
        <v>611</v>
      </c>
      <c r="B191" s="1" t="s">
        <v>3980</v>
      </c>
      <c r="C191" s="1" t="s">
        <v>3981</v>
      </c>
      <c r="D191" s="1">
        <v>1.06</v>
      </c>
      <c r="E191" s="1" t="s">
        <v>3982</v>
      </c>
      <c r="F191" s="1" t="s">
        <v>3983</v>
      </c>
      <c r="G191" s="1">
        <v>176.12615</v>
      </c>
      <c r="H191" s="2">
        <v>3811908.4440288502</v>
      </c>
      <c r="I191" s="1" t="s">
        <v>23</v>
      </c>
      <c r="J191" s="1">
        <v>176.21178</v>
      </c>
      <c r="K191" s="1">
        <v>177.13343</v>
      </c>
      <c r="L191" s="7">
        <f>G191-J191</f>
        <v>-8.5630000000008977E-2</v>
      </c>
      <c r="M191" s="1" t="s">
        <v>24</v>
      </c>
      <c r="N191" s="2">
        <v>491983.60466838599</v>
      </c>
      <c r="O191" s="1">
        <v>682795.17565782904</v>
      </c>
      <c r="P191" s="1">
        <v>685493.12974688003</v>
      </c>
      <c r="Q191" s="1">
        <f>STDEV(N191:P191)</f>
        <v>110952.14499641245</v>
      </c>
      <c r="R191" s="1">
        <v>620090.63669103163</v>
      </c>
      <c r="S191" s="1">
        <v>7.6042818365237451E-4</v>
      </c>
    </row>
    <row r="192" spans="1:19" x14ac:dyDescent="0.3">
      <c r="A192" s="1">
        <v>669</v>
      </c>
      <c r="B192" s="1" t="s">
        <v>2790</v>
      </c>
      <c r="C192" s="1" t="s">
        <v>2791</v>
      </c>
      <c r="D192" s="1">
        <v>9.6590000000000007</v>
      </c>
      <c r="E192" s="1" t="s">
        <v>2792</v>
      </c>
      <c r="F192" s="1" t="s">
        <v>2793</v>
      </c>
      <c r="G192" s="1">
        <v>284.17543000000001</v>
      </c>
      <c r="H192" s="2">
        <v>80148556.818905994</v>
      </c>
      <c r="I192" s="1" t="s">
        <v>23</v>
      </c>
      <c r="J192" s="1">
        <v>284.26348000000002</v>
      </c>
      <c r="K192" s="1">
        <v>285.18270999999999</v>
      </c>
      <c r="L192" s="7">
        <f>G192-J192</f>
        <v>-8.8050000000009732E-2</v>
      </c>
      <c r="M192" s="1" t="s">
        <v>2794</v>
      </c>
      <c r="N192" s="2">
        <v>3364039.0230801501</v>
      </c>
      <c r="O192" s="1">
        <v>2051411.65987708</v>
      </c>
      <c r="P192" s="1">
        <v>2087939.41322223</v>
      </c>
      <c r="Q192" s="1">
        <f>STDEV(N192:P192)</f>
        <v>747524.25664917682</v>
      </c>
      <c r="R192" s="1">
        <v>2501130.0320598199</v>
      </c>
      <c r="S192" s="1">
        <v>3.0671802714307321E-3</v>
      </c>
    </row>
    <row r="193" spans="1:19" x14ac:dyDescent="0.3">
      <c r="A193" s="1">
        <v>687</v>
      </c>
      <c r="B193" s="1" t="s">
        <v>1704</v>
      </c>
      <c r="C193" s="1" t="s">
        <v>1705</v>
      </c>
      <c r="D193" s="1">
        <v>7.8049999999999997</v>
      </c>
      <c r="E193" s="1" t="s">
        <v>1706</v>
      </c>
      <c r="F193" s="1" t="s">
        <v>1707</v>
      </c>
      <c r="G193" s="1">
        <v>286.19121000000001</v>
      </c>
      <c r="H193" s="2">
        <v>22403762.0648508</v>
      </c>
      <c r="I193" s="1" t="s">
        <v>23</v>
      </c>
      <c r="J193" s="1">
        <v>286.27936</v>
      </c>
      <c r="K193" s="1">
        <v>287.19848999999999</v>
      </c>
      <c r="L193" s="7">
        <f>G193-J193</f>
        <v>-8.814999999998463E-2</v>
      </c>
      <c r="M193" s="1" t="s">
        <v>917</v>
      </c>
      <c r="N193" s="2">
        <v>6118916.4145302596</v>
      </c>
      <c r="O193" s="1">
        <v>15264073.423785901</v>
      </c>
      <c r="P193" s="1">
        <v>11478081.910271499</v>
      </c>
      <c r="Q193" s="1">
        <f>STDEV(N193:P193)</f>
        <v>4595074.9590382809</v>
      </c>
      <c r="R193" s="1">
        <v>10953690.582862554</v>
      </c>
      <c r="S193" s="1">
        <v>1.3432705706805523E-2</v>
      </c>
    </row>
    <row r="194" spans="1:19" x14ac:dyDescent="0.3">
      <c r="A194" s="1">
        <v>418</v>
      </c>
      <c r="B194" s="1" t="s">
        <v>1377</v>
      </c>
      <c r="C194" s="1" t="s">
        <v>1378</v>
      </c>
      <c r="D194" s="1">
        <v>8.6959999999999997</v>
      </c>
      <c r="E194" s="1" t="s">
        <v>1379</v>
      </c>
      <c r="F194" s="1" t="s">
        <v>1380</v>
      </c>
      <c r="G194" s="1">
        <v>311.24372</v>
      </c>
      <c r="H194" s="2">
        <v>37746058.723021001</v>
      </c>
      <c r="I194" s="1" t="s">
        <v>23</v>
      </c>
      <c r="J194" s="1">
        <v>311.33188000000001</v>
      </c>
      <c r="K194" s="1">
        <v>312.25099999999998</v>
      </c>
      <c r="L194" s="7">
        <f>G194-J194</f>
        <v>-8.8160000000016225E-2</v>
      </c>
      <c r="M194" s="1" t="s">
        <v>1381</v>
      </c>
      <c r="N194" s="2">
        <v>7350815.2155767996</v>
      </c>
      <c r="O194" s="1">
        <v>12598922.091143601</v>
      </c>
      <c r="P194" s="1">
        <v>37746058.723021001</v>
      </c>
      <c r="Q194" s="1">
        <f>STDEV(N194:P194)</f>
        <v>16247009.64504192</v>
      </c>
      <c r="R194" s="1">
        <v>19231932.009913798</v>
      </c>
      <c r="S194" s="1">
        <v>2.3584460498331249E-2</v>
      </c>
    </row>
    <row r="195" spans="1:19" x14ac:dyDescent="0.3">
      <c r="A195" s="1">
        <v>503</v>
      </c>
      <c r="B195" s="1" t="s">
        <v>1286</v>
      </c>
      <c r="C195" s="1" t="s">
        <v>1287</v>
      </c>
      <c r="D195" s="1">
        <v>8.6669999999999998</v>
      </c>
      <c r="E195" s="1" t="s">
        <v>1288</v>
      </c>
      <c r="F195" s="1" t="s">
        <v>1289</v>
      </c>
      <c r="G195" s="1">
        <v>286.19108999999997</v>
      </c>
      <c r="H195" s="2">
        <v>34662077.5737065</v>
      </c>
      <c r="I195" s="1" t="s">
        <v>23</v>
      </c>
      <c r="J195" s="1">
        <v>286.27936</v>
      </c>
      <c r="K195" s="1">
        <v>287.19835999999998</v>
      </c>
      <c r="L195" s="7">
        <f>G195-J195</f>
        <v>-8.8270000000022719E-2</v>
      </c>
      <c r="M195" s="1" t="s">
        <v>24</v>
      </c>
      <c r="N195" s="2">
        <v>10045103.825438</v>
      </c>
      <c r="O195" s="1">
        <v>33866295.880768597</v>
      </c>
      <c r="P195" s="1">
        <v>34662077.5737065</v>
      </c>
      <c r="Q195" s="1">
        <f>STDEV(N195:P195)</f>
        <v>13988553.987473115</v>
      </c>
      <c r="R195" s="1">
        <v>26191159.093304366</v>
      </c>
      <c r="S195" s="1">
        <v>3.2118684525461502E-2</v>
      </c>
    </row>
    <row r="196" spans="1:19" x14ac:dyDescent="0.3">
      <c r="A196" s="1">
        <v>442</v>
      </c>
      <c r="B196" s="1" t="s">
        <v>4257</v>
      </c>
      <c r="C196" s="1" t="s">
        <v>4258</v>
      </c>
      <c r="D196" s="1">
        <v>17.504000000000001</v>
      </c>
      <c r="E196" s="1" t="s">
        <v>4259</v>
      </c>
      <c r="F196" s="1" t="s">
        <v>4260</v>
      </c>
      <c r="G196" s="1">
        <v>189.12219999999999</v>
      </c>
      <c r="H196" s="2">
        <v>481388.89489796403</v>
      </c>
      <c r="I196" s="1" t="s">
        <v>23</v>
      </c>
      <c r="J196" s="1">
        <v>189.21054000000001</v>
      </c>
      <c r="K196" s="1">
        <v>190.12961999999999</v>
      </c>
      <c r="L196" s="7">
        <f>G196-J196</f>
        <v>-8.8340000000016516E-2</v>
      </c>
      <c r="M196" s="1" t="s">
        <v>4261</v>
      </c>
      <c r="N196" s="2">
        <v>249855.36863441899</v>
      </c>
      <c r="O196" s="1">
        <v>481388.89489796403</v>
      </c>
      <c r="P196" s="1">
        <v>336494.7533709</v>
      </c>
      <c r="Q196" s="1">
        <f>STDEV(N196:P196)</f>
        <v>116981.81412824565</v>
      </c>
      <c r="R196" s="1">
        <v>355913.00563442771</v>
      </c>
      <c r="S196" s="1">
        <v>4.3646245306506418E-4</v>
      </c>
    </row>
    <row r="197" spans="1:19" x14ac:dyDescent="0.3">
      <c r="A197" s="1">
        <v>448</v>
      </c>
      <c r="B197" s="1" t="s">
        <v>1211</v>
      </c>
      <c r="C197" s="1" t="s">
        <v>1212</v>
      </c>
      <c r="D197" s="1">
        <v>0.26500000000000001</v>
      </c>
      <c r="E197" s="1" t="s">
        <v>1213</v>
      </c>
      <c r="F197" s="1" t="s">
        <v>1214</v>
      </c>
      <c r="G197" s="1">
        <v>288.20670999999999</v>
      </c>
      <c r="H197" s="2">
        <v>52727638.3647568</v>
      </c>
      <c r="I197" s="1" t="s">
        <v>23</v>
      </c>
      <c r="J197" s="1">
        <v>288.29523999999998</v>
      </c>
      <c r="K197" s="1">
        <v>289.21399000000002</v>
      </c>
      <c r="L197" s="7">
        <f>G197-J197</f>
        <v>-8.852999999999156E-2</v>
      </c>
      <c r="M197" s="1" t="s">
        <v>700</v>
      </c>
      <c r="N197" s="2">
        <v>631999.65923989797</v>
      </c>
      <c r="O197" s="1">
        <v>32846553.703429099</v>
      </c>
      <c r="P197" s="1">
        <v>52727638.3647568</v>
      </c>
      <c r="Q197" s="1">
        <f>STDEV(N197:P197)</f>
        <v>26290018.992362276</v>
      </c>
      <c r="R197" s="1">
        <v>28735397.242475267</v>
      </c>
      <c r="S197" s="1">
        <v>3.5238729048109416E-2</v>
      </c>
    </row>
    <row r="198" spans="1:19" x14ac:dyDescent="0.3">
      <c r="A198" s="1">
        <v>917</v>
      </c>
      <c r="B198" s="1" t="s">
        <v>3521</v>
      </c>
      <c r="C198" s="1" t="s">
        <v>3522</v>
      </c>
      <c r="D198" s="1">
        <v>13.946999999999999</v>
      </c>
      <c r="E198" s="1" t="s">
        <v>3523</v>
      </c>
      <c r="F198" s="1" t="s">
        <v>3524</v>
      </c>
      <c r="G198" s="1">
        <v>345.30068</v>
      </c>
      <c r="H198" s="2">
        <v>27022029.300354201</v>
      </c>
      <c r="I198" s="1" t="s">
        <v>23</v>
      </c>
      <c r="J198" s="1">
        <v>345.38961999999998</v>
      </c>
      <c r="K198" s="1">
        <v>346.30795000000001</v>
      </c>
      <c r="L198" s="7">
        <f>G198-J198</f>
        <v>-8.8939999999979591E-2</v>
      </c>
      <c r="M198" s="1" t="s">
        <v>3525</v>
      </c>
      <c r="N198" s="2">
        <v>1188516.9451753499</v>
      </c>
      <c r="O198" s="1">
        <v>1062586.6480056399</v>
      </c>
      <c r="P198" s="1">
        <v>813923.53253654297</v>
      </c>
      <c r="Q198" s="1">
        <f>STDEV(N198:P198)</f>
        <v>190618.29639904064</v>
      </c>
      <c r="R198" s="1">
        <v>1021675.708572511</v>
      </c>
      <c r="S198" s="1">
        <v>1.2528991043911754E-3</v>
      </c>
    </row>
    <row r="199" spans="1:19" x14ac:dyDescent="0.3">
      <c r="A199" s="1">
        <v>514</v>
      </c>
      <c r="B199" s="1" t="s">
        <v>976</v>
      </c>
      <c r="C199" s="1" t="s">
        <v>977</v>
      </c>
      <c r="D199" s="1">
        <v>0.58199999999999996</v>
      </c>
      <c r="E199" s="1" t="s">
        <v>978</v>
      </c>
      <c r="F199" s="1" t="s">
        <v>979</v>
      </c>
      <c r="G199" s="1">
        <v>360.22559999999999</v>
      </c>
      <c r="H199" s="2">
        <v>65054775.321861103</v>
      </c>
      <c r="I199" s="1" t="s">
        <v>23</v>
      </c>
      <c r="J199" s="1">
        <v>360.31484</v>
      </c>
      <c r="K199" s="1">
        <v>361.23288000000002</v>
      </c>
      <c r="L199" s="7">
        <f>G199-J199</f>
        <v>-8.9240000000017972E-2</v>
      </c>
      <c r="M199" s="1" t="s">
        <v>980</v>
      </c>
      <c r="N199" s="2">
        <v>15181378.6727082</v>
      </c>
      <c r="O199" s="1">
        <v>65054775.321861103</v>
      </c>
      <c r="P199" s="1">
        <v>47410336.737222202</v>
      </c>
      <c r="Q199" s="1">
        <f>STDEV(N199:P199)</f>
        <v>25289614.614880405</v>
      </c>
      <c r="R199" s="1">
        <v>42548830.243930496</v>
      </c>
      <c r="S199" s="1">
        <v>5.2178387778247903E-2</v>
      </c>
    </row>
    <row r="200" spans="1:19" x14ac:dyDescent="0.3">
      <c r="A200" s="1">
        <v>83</v>
      </c>
      <c r="B200" s="1" t="s">
        <v>667</v>
      </c>
      <c r="C200" s="1" t="s">
        <v>668</v>
      </c>
      <c r="D200" s="1">
        <v>0.09</v>
      </c>
      <c r="E200" s="1" t="s">
        <v>669</v>
      </c>
      <c r="F200" s="1" t="s">
        <v>670</v>
      </c>
      <c r="G200" s="1">
        <v>267.23628000000002</v>
      </c>
      <c r="H200" s="2">
        <v>158735843.48873699</v>
      </c>
      <c r="I200" s="1" t="s">
        <v>23</v>
      </c>
      <c r="J200" s="1">
        <v>267.32567999999998</v>
      </c>
      <c r="K200" s="1">
        <v>268.24356</v>
      </c>
      <c r="L200" s="7">
        <f>G200-J200</f>
        <v>-8.9399999999955071E-2</v>
      </c>
      <c r="M200" s="1" t="s">
        <v>24</v>
      </c>
      <c r="N200" s="2">
        <v>34981465.664871298</v>
      </c>
      <c r="O200" s="1">
        <v>158735843.48873699</v>
      </c>
      <c r="P200" s="1">
        <v>21031447.2040083</v>
      </c>
      <c r="Q200" s="1">
        <f>STDEV(N200:P200)</f>
        <v>75798251.740802154</v>
      </c>
      <c r="R200" s="1">
        <v>71582918.785872206</v>
      </c>
      <c r="S200" s="1">
        <v>8.7783407282762335E-2</v>
      </c>
    </row>
    <row r="201" spans="1:19" x14ac:dyDescent="0.3">
      <c r="A201" s="1">
        <v>311</v>
      </c>
      <c r="B201" s="1" t="s">
        <v>2825</v>
      </c>
      <c r="C201" s="1" t="s">
        <v>2826</v>
      </c>
      <c r="D201" s="1">
        <v>0.53900000000000003</v>
      </c>
      <c r="E201" s="1" t="s">
        <v>2827</v>
      </c>
      <c r="F201" s="1" t="s">
        <v>2828</v>
      </c>
      <c r="G201" s="1">
        <v>205.11983000000001</v>
      </c>
      <c r="H201" s="2">
        <v>3202120.3726856899</v>
      </c>
      <c r="I201" s="1" t="s">
        <v>23</v>
      </c>
      <c r="J201" s="1">
        <v>205.20993999999999</v>
      </c>
      <c r="K201" s="1">
        <v>206.12710000000001</v>
      </c>
      <c r="L201" s="7">
        <f>G201-J201</f>
        <v>-9.0109999999981483E-2</v>
      </c>
      <c r="M201" s="1" t="s">
        <v>2829</v>
      </c>
      <c r="N201" s="2">
        <v>1035058.14659058</v>
      </c>
      <c r="O201" s="1">
        <v>3202120.3726856899</v>
      </c>
      <c r="P201" s="1">
        <v>2814592.3318450502</v>
      </c>
      <c r="Q201" s="1">
        <f>STDEV(N201:P201)</f>
        <v>1155644.0189129307</v>
      </c>
      <c r="R201" s="1">
        <v>2350590.2837071065</v>
      </c>
      <c r="S201" s="1">
        <v>2.8825706988395276E-3</v>
      </c>
    </row>
    <row r="202" spans="1:19" x14ac:dyDescent="0.3">
      <c r="A202" s="1">
        <v>652</v>
      </c>
      <c r="B202" s="1" t="s">
        <v>815</v>
      </c>
      <c r="C202" s="1" t="s">
        <v>816</v>
      </c>
      <c r="D202" s="1">
        <v>0.59099999999999997</v>
      </c>
      <c r="E202" s="1" t="s">
        <v>817</v>
      </c>
      <c r="F202" s="1" t="s">
        <v>818</v>
      </c>
      <c r="G202" s="1">
        <v>284.17297000000002</v>
      </c>
      <c r="H202" s="2">
        <v>84923721.118592605</v>
      </c>
      <c r="I202" s="1" t="s">
        <v>344</v>
      </c>
      <c r="J202" s="1">
        <v>284.26348000000002</v>
      </c>
      <c r="K202" s="1">
        <v>317.20645000000002</v>
      </c>
      <c r="L202" s="7">
        <f>G202-J202</f>
        <v>-9.0509999999994761E-2</v>
      </c>
      <c r="M202" s="1" t="s">
        <v>819</v>
      </c>
      <c r="N202" s="2">
        <v>2500391.5924753002</v>
      </c>
      <c r="O202" s="1">
        <v>84923721.118592605</v>
      </c>
      <c r="P202" s="1">
        <v>75704249.755137697</v>
      </c>
      <c r="Q202" s="1">
        <f>STDEV(N202:P202)</f>
        <v>45161577.97710292</v>
      </c>
      <c r="R202" s="1">
        <v>54376120.822068535</v>
      </c>
      <c r="S202" s="1">
        <v>6.6682404706895113E-2</v>
      </c>
    </row>
    <row r="203" spans="1:19" x14ac:dyDescent="0.3">
      <c r="A203" s="1">
        <v>936</v>
      </c>
      <c r="B203" s="1" t="s">
        <v>152</v>
      </c>
      <c r="C203" s="1" t="s">
        <v>153</v>
      </c>
      <c r="D203" s="1">
        <v>16.274000000000001</v>
      </c>
      <c r="E203" s="1" t="s">
        <v>154</v>
      </c>
      <c r="F203" s="1" t="s">
        <v>155</v>
      </c>
      <c r="G203" s="1">
        <v>285.24689000000001</v>
      </c>
      <c r="H203" s="2">
        <v>1093016383.96016</v>
      </c>
      <c r="I203" s="1" t="s">
        <v>156</v>
      </c>
      <c r="J203" s="1">
        <v>285.33766000000003</v>
      </c>
      <c r="K203" s="1">
        <v>268.24362000000002</v>
      </c>
      <c r="L203" s="7">
        <f>G203-J203</f>
        <v>-9.0770000000020445E-2</v>
      </c>
      <c r="M203" s="1" t="s">
        <v>24</v>
      </c>
      <c r="N203" s="2">
        <v>1093016383.96016</v>
      </c>
      <c r="O203" s="1">
        <v>206263818.823475</v>
      </c>
      <c r="P203" s="1">
        <v>181607515.12928101</v>
      </c>
      <c r="Q203" s="1">
        <f>STDEV(N203:P203)</f>
        <v>519230868.89358658</v>
      </c>
      <c r="R203" s="1">
        <v>493629239.30430537</v>
      </c>
      <c r="S203" s="1">
        <v>0.60534632137802957</v>
      </c>
    </row>
    <row r="204" spans="1:19" x14ac:dyDescent="0.3">
      <c r="A204" s="1">
        <v>637</v>
      </c>
      <c r="B204" s="1" t="s">
        <v>1556</v>
      </c>
      <c r="C204" s="1" t="s">
        <v>1557</v>
      </c>
      <c r="D204" s="1">
        <v>8.52</v>
      </c>
      <c r="E204" s="1" t="s">
        <v>1558</v>
      </c>
      <c r="F204" s="1" t="s">
        <v>1559</v>
      </c>
      <c r="G204" s="1">
        <v>270.14528999999999</v>
      </c>
      <c r="H204" s="2">
        <v>24253277.629776999</v>
      </c>
      <c r="I204" s="1" t="s">
        <v>17</v>
      </c>
      <c r="J204" s="1">
        <v>270.23689999999999</v>
      </c>
      <c r="K204" s="1">
        <v>269.13801000000001</v>
      </c>
      <c r="L204" s="7">
        <f>G204-J204</f>
        <v>-9.1610000000002856E-2</v>
      </c>
      <c r="M204" s="1" t="s">
        <v>1560</v>
      </c>
      <c r="N204" s="2">
        <v>24253277.629776999</v>
      </c>
      <c r="O204" s="1">
        <v>7360943.20746879</v>
      </c>
      <c r="P204" s="1">
        <v>11122117.2601407</v>
      </c>
      <c r="Q204" s="1">
        <f>STDEV(N204:P204)</f>
        <v>8868716.2274921723</v>
      </c>
      <c r="R204" s="1">
        <v>14245446.032462163</v>
      </c>
      <c r="S204" s="1">
        <v>1.7469443998685361E-2</v>
      </c>
    </row>
    <row r="205" spans="1:19" x14ac:dyDescent="0.3">
      <c r="A205" s="1">
        <v>567</v>
      </c>
      <c r="B205" s="1" t="s">
        <v>1334</v>
      </c>
      <c r="C205" s="1" t="s">
        <v>1335</v>
      </c>
      <c r="D205" s="1">
        <v>8.8160000000000007</v>
      </c>
      <c r="E205" s="1" t="s">
        <v>1336</v>
      </c>
      <c r="F205" s="1" t="s">
        <v>1337</v>
      </c>
      <c r="G205" s="1">
        <v>218.11365000000001</v>
      </c>
      <c r="H205" s="2">
        <v>28798370.1857723</v>
      </c>
      <c r="I205" s="1" t="s">
        <v>17</v>
      </c>
      <c r="J205" s="1">
        <v>218.2054</v>
      </c>
      <c r="K205" s="1">
        <v>217.10638</v>
      </c>
      <c r="L205" s="7">
        <f>G205-J205</f>
        <v>-9.174999999999045E-2</v>
      </c>
      <c r="M205" s="1" t="s">
        <v>1338</v>
      </c>
      <c r="N205" s="2">
        <v>22560720.686565999</v>
      </c>
      <c r="O205" s="1">
        <v>25067410.2874211</v>
      </c>
      <c r="P205" s="1">
        <v>21884462.811160501</v>
      </c>
      <c r="Q205" s="1">
        <f>STDEV(N205:P205)</f>
        <v>1676900.5190984933</v>
      </c>
      <c r="R205" s="1">
        <v>23170864.595049202</v>
      </c>
      <c r="S205" s="1">
        <v>2.841484362946068E-2</v>
      </c>
    </row>
    <row r="206" spans="1:19" x14ac:dyDescent="0.3">
      <c r="A206" s="1">
        <v>505</v>
      </c>
      <c r="B206" s="1" t="s">
        <v>2211</v>
      </c>
      <c r="C206" s="1" t="s">
        <v>2212</v>
      </c>
      <c r="D206" s="1">
        <v>7.8760000000000003</v>
      </c>
      <c r="E206" s="1" t="s">
        <v>2213</v>
      </c>
      <c r="F206" s="1" t="s">
        <v>2214</v>
      </c>
      <c r="G206" s="1">
        <v>274.17687999999998</v>
      </c>
      <c r="H206" s="2">
        <v>40104599.044619098</v>
      </c>
      <c r="I206" s="1" t="s">
        <v>17</v>
      </c>
      <c r="J206" s="1">
        <v>274.26866000000001</v>
      </c>
      <c r="K206" s="1">
        <v>273.1696</v>
      </c>
      <c r="L206" s="7">
        <f>G206-J206</f>
        <v>-9.1780000000028394E-2</v>
      </c>
      <c r="M206" s="1" t="s">
        <v>1603</v>
      </c>
      <c r="N206" s="2">
        <v>6722534.2035050001</v>
      </c>
      <c r="O206" s="1">
        <v>6261583.49949844</v>
      </c>
      <c r="P206" s="1">
        <v>3393244.42823218</v>
      </c>
      <c r="Q206" s="1">
        <f>STDEV(N206:P206)</f>
        <v>1803885.3893292346</v>
      </c>
      <c r="R206" s="1">
        <v>5459120.7104118736</v>
      </c>
      <c r="S206" s="1">
        <v>6.6946168842507226E-3</v>
      </c>
    </row>
    <row r="207" spans="1:19" x14ac:dyDescent="0.3">
      <c r="A207" s="1">
        <v>914</v>
      </c>
      <c r="B207" s="1" t="s">
        <v>500</v>
      </c>
      <c r="C207" s="1" t="s">
        <v>501</v>
      </c>
      <c r="D207" s="1">
        <v>11.565</v>
      </c>
      <c r="E207" s="1" t="s">
        <v>502</v>
      </c>
      <c r="F207" s="1" t="s">
        <v>503</v>
      </c>
      <c r="G207" s="1">
        <v>162.13972999999999</v>
      </c>
      <c r="H207" s="2">
        <v>141988557.28618601</v>
      </c>
      <c r="I207" s="1" t="s">
        <v>23</v>
      </c>
      <c r="J207" s="1">
        <v>162.23156</v>
      </c>
      <c r="K207" s="1">
        <v>163.14700999999999</v>
      </c>
      <c r="L207" s="7">
        <f>G207-J207</f>
        <v>-9.1830000000015843E-2</v>
      </c>
      <c r="M207" s="1" t="s">
        <v>24</v>
      </c>
      <c r="N207" s="2">
        <v>141988557.28618601</v>
      </c>
      <c r="O207" s="1">
        <v>107000741.803037</v>
      </c>
      <c r="P207" s="1">
        <v>56065705.694086798</v>
      </c>
      <c r="Q207" s="1">
        <f>STDEV(N207:P207)</f>
        <v>43207371.210286282</v>
      </c>
      <c r="R207" s="1">
        <v>101685001.5944366</v>
      </c>
      <c r="S207" s="1">
        <v>0.12469812716374559</v>
      </c>
    </row>
    <row r="208" spans="1:19" x14ac:dyDescent="0.3">
      <c r="A208" s="1">
        <v>446</v>
      </c>
      <c r="B208" s="1" t="s">
        <v>1599</v>
      </c>
      <c r="C208" s="1" t="s">
        <v>1600</v>
      </c>
      <c r="D208" s="1">
        <v>8.2810000000000006</v>
      </c>
      <c r="E208" s="1" t="s">
        <v>1601</v>
      </c>
      <c r="F208" s="1" t="s">
        <v>1602</v>
      </c>
      <c r="G208" s="1">
        <v>274.17676999999998</v>
      </c>
      <c r="H208" s="2">
        <v>48307267.920105398</v>
      </c>
      <c r="I208" s="1" t="s">
        <v>17</v>
      </c>
      <c r="J208" s="1">
        <v>274.26866000000001</v>
      </c>
      <c r="K208" s="1">
        <v>273.16949</v>
      </c>
      <c r="L208" s="7">
        <f>G208-J208</f>
        <v>-9.1890000000034888E-2</v>
      </c>
      <c r="M208" s="1" t="s">
        <v>1603</v>
      </c>
      <c r="N208" s="2">
        <v>17899948.754454698</v>
      </c>
      <c r="O208" s="1">
        <v>13727597.3916486</v>
      </c>
      <c r="P208" s="1">
        <v>8236708.5008426802</v>
      </c>
      <c r="Q208" s="1">
        <f>STDEV(N208:P208)</f>
        <v>4846589.6756536122</v>
      </c>
      <c r="R208" s="1">
        <v>13288084.882315328</v>
      </c>
      <c r="S208" s="1">
        <v>1.6295414981910766E-2</v>
      </c>
    </row>
    <row r="209" spans="1:19" x14ac:dyDescent="0.3">
      <c r="A209" s="1">
        <v>608</v>
      </c>
      <c r="B209" s="1" t="s">
        <v>196</v>
      </c>
      <c r="C209" s="1" t="s">
        <v>197</v>
      </c>
      <c r="D209" s="1">
        <v>0.191</v>
      </c>
      <c r="E209" s="1" t="s">
        <v>198</v>
      </c>
      <c r="F209" s="1" t="s">
        <v>199</v>
      </c>
      <c r="G209" s="1">
        <v>270.14472000000001</v>
      </c>
      <c r="H209" s="2">
        <v>599681925.00179398</v>
      </c>
      <c r="I209" s="1" t="s">
        <v>23</v>
      </c>
      <c r="J209" s="1">
        <v>270.23689999999999</v>
      </c>
      <c r="K209" s="1">
        <v>271.15199999999999</v>
      </c>
      <c r="L209" s="7">
        <f>G209-J209</f>
        <v>-9.217999999998483E-2</v>
      </c>
      <c r="M209" s="1" t="s">
        <v>29</v>
      </c>
      <c r="N209" s="2">
        <v>2101808.1631437801</v>
      </c>
      <c r="O209" s="1">
        <v>417314981.51613402</v>
      </c>
      <c r="P209" s="1">
        <v>599681925.00179398</v>
      </c>
      <c r="Q209" s="1">
        <f>STDEV(N209:P209)</f>
        <v>306257429.14609629</v>
      </c>
      <c r="R209" s="1">
        <v>339699571.56035727</v>
      </c>
      <c r="S209" s="1">
        <v>0.41657963030627443</v>
      </c>
    </row>
    <row r="210" spans="1:19" x14ac:dyDescent="0.3">
      <c r="A210" s="1">
        <v>624</v>
      </c>
      <c r="B210" s="1" t="s">
        <v>518</v>
      </c>
      <c r="C210" s="1" t="s">
        <v>519</v>
      </c>
      <c r="D210" s="1">
        <v>9.6029999999999998</v>
      </c>
      <c r="E210" s="1" t="s">
        <v>520</v>
      </c>
      <c r="F210" s="1" t="s">
        <v>521</v>
      </c>
      <c r="G210" s="1">
        <v>298.15481</v>
      </c>
      <c r="H210" s="2">
        <v>108218840.91375101</v>
      </c>
      <c r="I210" s="1" t="s">
        <v>23</v>
      </c>
      <c r="J210" s="1">
        <v>298.24700000000001</v>
      </c>
      <c r="K210" s="1">
        <v>299.16205000000002</v>
      </c>
      <c r="L210" s="7">
        <f>G210-J210</f>
        <v>-9.2190000000016425E-2</v>
      </c>
      <c r="M210" s="1" t="s">
        <v>522</v>
      </c>
      <c r="N210" s="2">
        <v>100806613.004691</v>
      </c>
      <c r="O210" s="1">
        <v>108218840.91375101</v>
      </c>
      <c r="P210" s="1">
        <v>84630155.682494193</v>
      </c>
      <c r="Q210" s="1">
        <f>STDEV(N210:P210)</f>
        <v>12062648.721100686</v>
      </c>
      <c r="R210" s="1">
        <v>97885203.200312063</v>
      </c>
      <c r="S210" s="1">
        <v>0.12003836676725205</v>
      </c>
    </row>
    <row r="211" spans="1:19" x14ac:dyDescent="0.3">
      <c r="A211" s="1">
        <v>558</v>
      </c>
      <c r="B211" s="1" t="s">
        <v>25</v>
      </c>
      <c r="C211" s="1" t="s">
        <v>26</v>
      </c>
      <c r="D211" s="1">
        <v>13.683999999999999</v>
      </c>
      <c r="E211" s="1" t="s">
        <v>27</v>
      </c>
      <c r="F211" s="1" t="s">
        <v>28</v>
      </c>
      <c r="G211" s="1">
        <v>270.14463999999998</v>
      </c>
      <c r="H211" s="2">
        <v>4039610194.3991299</v>
      </c>
      <c r="I211" s="1" t="s">
        <v>23</v>
      </c>
      <c r="J211" s="1">
        <v>270.23689999999999</v>
      </c>
      <c r="K211" s="1">
        <v>271.15192000000002</v>
      </c>
      <c r="L211" s="7">
        <f>G211-J211</f>
        <v>-9.2260000000010223E-2</v>
      </c>
      <c r="M211" s="1" t="s">
        <v>29</v>
      </c>
      <c r="N211" s="2">
        <v>3414197820.7757301</v>
      </c>
      <c r="O211" s="1">
        <v>4039610194.3991299</v>
      </c>
      <c r="P211" s="1">
        <v>3384964580.8497901</v>
      </c>
      <c r="Q211" s="1">
        <f>STDEV(N211:P211)</f>
        <v>369809883.30429417</v>
      </c>
      <c r="R211" s="1">
        <v>3612924198.6748834</v>
      </c>
      <c r="S211" s="1">
        <v>4.430593244775868</v>
      </c>
    </row>
    <row r="212" spans="1:19" x14ac:dyDescent="0.3">
      <c r="A212" s="1">
        <v>606</v>
      </c>
      <c r="B212" s="1" t="s">
        <v>98</v>
      </c>
      <c r="C212" s="1" t="s">
        <v>99</v>
      </c>
      <c r="D212" s="1">
        <v>14.954000000000001</v>
      </c>
      <c r="E212" s="1" t="s">
        <v>100</v>
      </c>
      <c r="F212" s="1" t="s">
        <v>101</v>
      </c>
      <c r="G212" s="1">
        <v>270.14463999999998</v>
      </c>
      <c r="H212" s="2">
        <v>1089320641.4731901</v>
      </c>
      <c r="I212" s="1" t="s">
        <v>23</v>
      </c>
      <c r="J212" s="1">
        <v>270.23689999999999</v>
      </c>
      <c r="K212" s="1">
        <v>271.15192000000002</v>
      </c>
      <c r="L212" s="7">
        <f>G212-J212</f>
        <v>-9.2260000000010223E-2</v>
      </c>
      <c r="M212" s="1" t="s">
        <v>29</v>
      </c>
      <c r="N212" s="2">
        <v>727381668.08455598</v>
      </c>
      <c r="O212" s="1">
        <v>1089320641.4731901</v>
      </c>
      <c r="P212" s="1">
        <v>972422408.53992498</v>
      </c>
      <c r="Q212" s="1">
        <f>STDEV(N212:P212)</f>
        <v>184711478.52955902</v>
      </c>
      <c r="R212" s="1">
        <v>929708239.36589038</v>
      </c>
      <c r="S212" s="1">
        <v>1.140117760139493</v>
      </c>
    </row>
    <row r="213" spans="1:19" x14ac:dyDescent="0.3">
      <c r="A213" s="1">
        <v>645</v>
      </c>
      <c r="B213" s="1" t="s">
        <v>1339</v>
      </c>
      <c r="C213" s="1" t="s">
        <v>1340</v>
      </c>
      <c r="D213" s="1">
        <v>8.9090000000000007</v>
      </c>
      <c r="E213" s="1" t="s">
        <v>1341</v>
      </c>
      <c r="F213" s="1" t="s">
        <v>1342</v>
      </c>
      <c r="G213" s="1">
        <v>298.15474</v>
      </c>
      <c r="H213" s="2">
        <v>24920116.606915701</v>
      </c>
      <c r="I213" s="1" t="s">
        <v>23</v>
      </c>
      <c r="J213" s="1">
        <v>298.24700000000001</v>
      </c>
      <c r="K213" s="1">
        <v>299.16205000000002</v>
      </c>
      <c r="L213" s="7">
        <f>G213-J213</f>
        <v>-9.2260000000010223E-2</v>
      </c>
      <c r="M213" s="1" t="s">
        <v>1343</v>
      </c>
      <c r="N213" s="2">
        <v>20617357.522469599</v>
      </c>
      <c r="O213" s="1">
        <v>24920116.606915701</v>
      </c>
      <c r="P213" s="1">
        <v>21030255.446749002</v>
      </c>
      <c r="Q213" s="1">
        <f>STDEV(N213:P213)</f>
        <v>2373999.4481897396</v>
      </c>
      <c r="R213" s="1">
        <v>22189243.192044768</v>
      </c>
      <c r="S213" s="1">
        <v>2.7211063832842192E-2</v>
      </c>
    </row>
    <row r="214" spans="1:19" x14ac:dyDescent="0.3">
      <c r="A214" s="1">
        <v>1012</v>
      </c>
      <c r="B214" s="1" t="s">
        <v>2947</v>
      </c>
      <c r="C214" s="1" t="s">
        <v>2948</v>
      </c>
      <c r="D214" s="1">
        <v>5.92</v>
      </c>
      <c r="E214" s="1" t="s">
        <v>2949</v>
      </c>
      <c r="F214" s="1" t="s">
        <v>2950</v>
      </c>
      <c r="G214" s="1">
        <v>175.09145000000001</v>
      </c>
      <c r="H214" s="2">
        <v>3020862.7226597401</v>
      </c>
      <c r="I214" s="1" t="s">
        <v>23</v>
      </c>
      <c r="J214" s="1">
        <v>175.18396000000001</v>
      </c>
      <c r="K214" s="1">
        <v>176.09871999999999</v>
      </c>
      <c r="L214" s="7">
        <f>G214-J214</f>
        <v>-9.2510000000004311E-2</v>
      </c>
      <c r="M214" s="1" t="s">
        <v>24</v>
      </c>
      <c r="N214" s="2">
        <v>670449.75579738303</v>
      </c>
      <c r="O214" s="1">
        <v>2507798.4061397202</v>
      </c>
      <c r="P214" s="1">
        <v>3020862.7226597401</v>
      </c>
      <c r="Q214" s="1">
        <f>STDEV(N214:P214)</f>
        <v>1235821.3308427501</v>
      </c>
      <c r="R214" s="1">
        <v>2066370.2948656145</v>
      </c>
      <c r="S214" s="1">
        <v>2.534026668202724E-3</v>
      </c>
    </row>
    <row r="215" spans="1:19" x14ac:dyDescent="0.3">
      <c r="A215" s="1">
        <v>198</v>
      </c>
      <c r="B215" s="1" t="s">
        <v>1290</v>
      </c>
      <c r="C215" s="1" t="s">
        <v>1291</v>
      </c>
      <c r="D215" s="1">
        <v>9.7000000000000003E-2</v>
      </c>
      <c r="E215" s="1" t="s">
        <v>1292</v>
      </c>
      <c r="F215" s="1" t="s">
        <v>1293</v>
      </c>
      <c r="G215" s="1">
        <v>236.17595</v>
      </c>
      <c r="H215" s="2">
        <v>43670067.865273997</v>
      </c>
      <c r="I215" s="1" t="s">
        <v>17</v>
      </c>
      <c r="J215" s="1">
        <v>236.26857999999999</v>
      </c>
      <c r="K215" s="1">
        <v>235.16865999999999</v>
      </c>
      <c r="L215" s="7">
        <f>G215-J215</f>
        <v>-9.2629999999985557E-2</v>
      </c>
      <c r="M215" s="1" t="s">
        <v>1294</v>
      </c>
      <c r="N215" s="2">
        <v>2078980.30380032</v>
      </c>
      <c r="O215" s="1">
        <v>43670067.865273997</v>
      </c>
      <c r="P215" s="1">
        <v>32238785.4275527</v>
      </c>
      <c r="Q215" s="1">
        <f>STDEV(N215:P215)</f>
        <v>21486843.369140431</v>
      </c>
      <c r="R215" s="1">
        <v>25995944.532209009</v>
      </c>
      <c r="S215" s="1">
        <v>3.1879289434917343E-2</v>
      </c>
    </row>
    <row r="216" spans="1:19" x14ac:dyDescent="0.3">
      <c r="A216" s="1">
        <v>623</v>
      </c>
      <c r="B216" s="1" t="s">
        <v>1991</v>
      </c>
      <c r="C216" s="1" t="s">
        <v>1992</v>
      </c>
      <c r="D216" s="1">
        <v>4.3369999999999997</v>
      </c>
      <c r="E216" s="1" t="s">
        <v>1993</v>
      </c>
      <c r="F216" s="1" t="s">
        <v>1994</v>
      </c>
      <c r="G216" s="1">
        <v>284.17032</v>
      </c>
      <c r="H216" s="2">
        <v>79935436.110656798</v>
      </c>
      <c r="I216" s="1" t="s">
        <v>150</v>
      </c>
      <c r="J216" s="1">
        <v>284.26348000000002</v>
      </c>
      <c r="K216" s="1">
        <v>307.15951999999999</v>
      </c>
      <c r="L216" s="7">
        <f>G216-J216</f>
        <v>-9.3160000000011678E-2</v>
      </c>
      <c r="M216" s="1" t="s">
        <v>1995</v>
      </c>
      <c r="N216" s="2">
        <v>18537144.174888801</v>
      </c>
      <c r="O216" s="1">
        <v>1732045.26041249</v>
      </c>
      <c r="P216" s="1">
        <v>1955663.1325549399</v>
      </c>
      <c r="Q216" s="1">
        <f>STDEV(N216:P216)</f>
        <v>9638523.9882753119</v>
      </c>
      <c r="R216" s="1">
        <v>7408284.1892854096</v>
      </c>
      <c r="S216" s="1">
        <v>9.0849107480490115E-3</v>
      </c>
    </row>
    <row r="217" spans="1:19" x14ac:dyDescent="0.3">
      <c r="A217" s="1">
        <v>312</v>
      </c>
      <c r="B217" s="1" t="s">
        <v>4035</v>
      </c>
      <c r="C217" s="1" t="s">
        <v>4036</v>
      </c>
      <c r="D217" s="1">
        <v>8.173</v>
      </c>
      <c r="E217" s="1" t="s">
        <v>4037</v>
      </c>
      <c r="F217" s="1" t="s">
        <v>4038</v>
      </c>
      <c r="G217" s="1">
        <v>175.09059999999999</v>
      </c>
      <c r="H217" s="2">
        <v>5788574.0157850701</v>
      </c>
      <c r="I217" s="1" t="s">
        <v>17</v>
      </c>
      <c r="J217" s="1">
        <v>175.18396000000001</v>
      </c>
      <c r="K217" s="1">
        <v>174.08331999999999</v>
      </c>
      <c r="L217" s="7">
        <f>G217-J217</f>
        <v>-9.3360000000018317E-2</v>
      </c>
      <c r="M217" s="1" t="s">
        <v>24</v>
      </c>
      <c r="N217" s="2">
        <v>441497.029814001</v>
      </c>
      <c r="O217" s="1">
        <v>855192.44147461897</v>
      </c>
      <c r="P217" s="1">
        <v>458657.709159513</v>
      </c>
      <c r="Q217" s="1">
        <f>STDEV(N217:P217)</f>
        <v>234050.62717172271</v>
      </c>
      <c r="R217" s="1">
        <v>585115.72681604431</v>
      </c>
      <c r="S217" s="1">
        <v>7.1753782921715043E-4</v>
      </c>
    </row>
    <row r="218" spans="1:19" x14ac:dyDescent="0.3">
      <c r="A218" s="1">
        <v>537</v>
      </c>
      <c r="B218" s="1" t="s">
        <v>2521</v>
      </c>
      <c r="C218" s="1" t="s">
        <v>2522</v>
      </c>
      <c r="D218" s="1">
        <v>11.507999999999999</v>
      </c>
      <c r="E218" s="1" t="s">
        <v>2523</v>
      </c>
      <c r="F218" s="1" t="s">
        <v>2524</v>
      </c>
      <c r="G218" s="1">
        <v>287.14958999999999</v>
      </c>
      <c r="H218" s="2">
        <v>385162246.26441598</v>
      </c>
      <c r="I218" s="1" t="s">
        <v>23</v>
      </c>
      <c r="J218" s="1">
        <v>287.24423999999999</v>
      </c>
      <c r="K218" s="1">
        <v>288.15685999999999</v>
      </c>
      <c r="L218" s="7">
        <f>G218-J218</f>
        <v>-9.4650000000001455E-2</v>
      </c>
      <c r="M218" s="1" t="s">
        <v>2525</v>
      </c>
      <c r="N218" s="2">
        <v>4760476.5924060401</v>
      </c>
      <c r="O218" s="1">
        <v>2986207.4169292301</v>
      </c>
      <c r="P218" s="1">
        <v>2333589.9763208199</v>
      </c>
      <c r="Q218" s="1">
        <f>STDEV(N218:P218)</f>
        <v>1255900.6912814276</v>
      </c>
      <c r="R218" s="1">
        <v>3360091.32855203</v>
      </c>
      <c r="S218" s="1">
        <v>4.1205397964266159E-3</v>
      </c>
    </row>
    <row r="219" spans="1:19" x14ac:dyDescent="0.3">
      <c r="A219" s="1">
        <v>413</v>
      </c>
      <c r="B219" s="1" t="s">
        <v>3992</v>
      </c>
      <c r="C219" s="1" t="s">
        <v>3993</v>
      </c>
      <c r="D219" s="1">
        <v>16.213999999999999</v>
      </c>
      <c r="E219" s="1" t="s">
        <v>3994</v>
      </c>
      <c r="F219" s="1" t="s">
        <v>3995</v>
      </c>
      <c r="G219" s="1">
        <v>269.24306999999999</v>
      </c>
      <c r="H219" s="2">
        <v>1333235.42123919</v>
      </c>
      <c r="I219" s="1" t="s">
        <v>23</v>
      </c>
      <c r="J219" s="1">
        <v>269.33825999999999</v>
      </c>
      <c r="K219" s="1">
        <v>270.25035000000003</v>
      </c>
      <c r="L219" s="7">
        <f>G219-J219</f>
        <v>-9.5190000000002328E-2</v>
      </c>
      <c r="M219" s="1" t="s">
        <v>24</v>
      </c>
      <c r="N219" s="2">
        <v>1333235.42123919</v>
      </c>
      <c r="O219" s="1">
        <v>240560.57775345599</v>
      </c>
      <c r="P219" s="1">
        <v>245620.80159542701</v>
      </c>
      <c r="Q219" s="1">
        <f>STDEV(N219:P219)</f>
        <v>629400.4396135991</v>
      </c>
      <c r="R219" s="1">
        <v>606472.26686269103</v>
      </c>
      <c r="S219" s="1">
        <v>7.437277343630051E-4</v>
      </c>
    </row>
    <row r="220" spans="1:19" x14ac:dyDescent="0.3">
      <c r="A220" s="1">
        <v>639</v>
      </c>
      <c r="B220" s="1" t="s">
        <v>3270</v>
      </c>
      <c r="C220" s="1" t="s">
        <v>3271</v>
      </c>
      <c r="D220" s="1">
        <v>0.156</v>
      </c>
      <c r="E220" s="1" t="s">
        <v>3272</v>
      </c>
      <c r="F220" s="1" t="s">
        <v>3273</v>
      </c>
      <c r="G220" s="1">
        <v>338.25806999999998</v>
      </c>
      <c r="H220" s="2">
        <v>8780693.1895198897</v>
      </c>
      <c r="I220" s="1" t="s">
        <v>23</v>
      </c>
      <c r="J220" s="1">
        <v>338.35392000000002</v>
      </c>
      <c r="K220" s="1">
        <v>339.26535000000001</v>
      </c>
      <c r="L220" s="7">
        <f>G220-J220</f>
        <v>-9.5850000000041291E-2</v>
      </c>
      <c r="M220" s="1" t="s">
        <v>68</v>
      </c>
      <c r="N220" s="2">
        <v>796505.24891914905</v>
      </c>
      <c r="O220" s="1">
        <v>1496079.72566816</v>
      </c>
      <c r="P220" s="1">
        <v>1882873.15913828</v>
      </c>
      <c r="Q220" s="1">
        <f>STDEV(N220:P220)</f>
        <v>550637.33452671906</v>
      </c>
      <c r="R220" s="1">
        <v>1391819.3779085297</v>
      </c>
      <c r="S220" s="1">
        <v>1.7068128736194936E-3</v>
      </c>
    </row>
    <row r="221" spans="1:19" x14ac:dyDescent="0.3">
      <c r="A221" s="1">
        <v>931</v>
      </c>
      <c r="B221" s="1" t="s">
        <v>2721</v>
      </c>
      <c r="C221" s="1" t="s">
        <v>2722</v>
      </c>
      <c r="D221" s="1">
        <v>11.762</v>
      </c>
      <c r="E221" s="1" t="s">
        <v>2723</v>
      </c>
      <c r="F221" s="1" t="s">
        <v>2724</v>
      </c>
      <c r="G221" s="1">
        <v>469.29998000000001</v>
      </c>
      <c r="H221" s="2">
        <v>135912161.89731699</v>
      </c>
      <c r="I221" s="1" t="s">
        <v>23</v>
      </c>
      <c r="J221" s="1">
        <v>469.39612</v>
      </c>
      <c r="K221" s="1">
        <v>470.30730999999997</v>
      </c>
      <c r="L221" s="7">
        <f>G221-J221</f>
        <v>-9.6139999999991232E-2</v>
      </c>
      <c r="M221" s="1" t="s">
        <v>2725</v>
      </c>
      <c r="N221" s="2">
        <v>3409190.5010606502</v>
      </c>
      <c r="O221" s="1">
        <v>3683237.0789244198</v>
      </c>
      <c r="P221" s="1">
        <v>943738.09179293201</v>
      </c>
      <c r="Q221" s="1">
        <f>STDEV(N221:P221)</f>
        <v>1508774.9892819945</v>
      </c>
      <c r="R221" s="1">
        <v>2678721.8905926673</v>
      </c>
      <c r="S221" s="1">
        <v>3.284964328187698E-3</v>
      </c>
    </row>
    <row r="222" spans="1:19" x14ac:dyDescent="0.3">
      <c r="A222" s="1">
        <v>409</v>
      </c>
      <c r="B222" s="1" t="s">
        <v>55</v>
      </c>
      <c r="C222" s="1" t="s">
        <v>56</v>
      </c>
      <c r="D222" s="1">
        <v>1.0740000000000001</v>
      </c>
      <c r="E222" s="1" t="s">
        <v>57</v>
      </c>
      <c r="F222" s="1" t="s">
        <v>58</v>
      </c>
      <c r="G222" s="1">
        <v>141.11456999999999</v>
      </c>
      <c r="H222" s="2">
        <v>2223068062.2234001</v>
      </c>
      <c r="I222" s="1" t="s">
        <v>23</v>
      </c>
      <c r="J222" s="1">
        <v>141.21080000000001</v>
      </c>
      <c r="K222" s="1">
        <v>142.12184999999999</v>
      </c>
      <c r="L222" s="7">
        <f>G222-J222</f>
        <v>-9.62300000000198E-2</v>
      </c>
      <c r="M222" s="1" t="s">
        <v>24</v>
      </c>
      <c r="N222" s="2">
        <v>1907697390.9988301</v>
      </c>
      <c r="O222" s="1">
        <v>2223068062.2234001</v>
      </c>
      <c r="P222" s="1">
        <v>1481628026.0373099</v>
      </c>
      <c r="Q222" s="1">
        <f>STDEV(N222:P222)</f>
        <v>372094766.44330376</v>
      </c>
      <c r="R222" s="1">
        <v>1870797826.4198465</v>
      </c>
      <c r="S222" s="1">
        <v>2.2941926695050019</v>
      </c>
    </row>
    <row r="223" spans="1:19" x14ac:dyDescent="0.3">
      <c r="A223" s="1">
        <v>17</v>
      </c>
      <c r="B223" s="1" t="s">
        <v>316</v>
      </c>
      <c r="C223" s="1" t="s">
        <v>317</v>
      </c>
      <c r="D223" s="1">
        <v>9.5640000000000001</v>
      </c>
      <c r="E223" s="1" t="s">
        <v>318</v>
      </c>
      <c r="F223" s="1" t="s">
        <v>319</v>
      </c>
      <c r="G223" s="1">
        <v>330.23890999999998</v>
      </c>
      <c r="H223" s="2">
        <v>637227269.23853695</v>
      </c>
      <c r="I223" s="1" t="s">
        <v>17</v>
      </c>
      <c r="J223" s="1">
        <v>330.33521999999999</v>
      </c>
      <c r="K223" s="1">
        <v>329.23164000000003</v>
      </c>
      <c r="L223" s="7">
        <f>G223-J223</f>
        <v>-9.6310000000016771E-2</v>
      </c>
      <c r="M223" s="1" t="s">
        <v>320</v>
      </c>
      <c r="N223" s="2">
        <v>214613157.20038599</v>
      </c>
      <c r="O223" s="1">
        <v>183295013.58599299</v>
      </c>
      <c r="P223" s="1">
        <v>115010434.90030999</v>
      </c>
      <c r="Q223" s="1">
        <f>STDEV(N223:P223)</f>
        <v>50931836.957707621</v>
      </c>
      <c r="R223" s="1">
        <v>170972868.56222966</v>
      </c>
      <c r="S223" s="1">
        <v>0.20966707155649725</v>
      </c>
    </row>
    <row r="224" spans="1:19" x14ac:dyDescent="0.3">
      <c r="A224" s="1">
        <v>201</v>
      </c>
      <c r="B224" s="1" t="s">
        <v>2799</v>
      </c>
      <c r="C224" s="1" t="s">
        <v>2800</v>
      </c>
      <c r="D224" s="1">
        <v>24.032</v>
      </c>
      <c r="E224" s="1" t="s">
        <v>2801</v>
      </c>
      <c r="F224" s="1" t="s">
        <v>2802</v>
      </c>
      <c r="G224" s="1">
        <v>248.13951</v>
      </c>
      <c r="H224" s="2">
        <v>3051223.7160845399</v>
      </c>
      <c r="I224" s="1" t="s">
        <v>23</v>
      </c>
      <c r="J224" s="1">
        <v>248.23622</v>
      </c>
      <c r="K224" s="1">
        <v>249.14655999999999</v>
      </c>
      <c r="L224" s="7">
        <f>G224-J224</f>
        <v>-9.6710000000001628E-2</v>
      </c>
      <c r="M224" s="1" t="s">
        <v>24</v>
      </c>
      <c r="N224" s="2">
        <v>1579737.3739980799</v>
      </c>
      <c r="O224" s="1">
        <v>2768155.8550052601</v>
      </c>
      <c r="P224" s="1">
        <v>3051223.7160845399</v>
      </c>
      <c r="Q224" s="1">
        <f>STDEV(N224:P224)</f>
        <v>780783.57595883531</v>
      </c>
      <c r="R224" s="1">
        <v>2466372.3150292933</v>
      </c>
      <c r="S224" s="1">
        <v>3.0245562644460951E-3</v>
      </c>
    </row>
    <row r="225" spans="1:19" x14ac:dyDescent="0.3">
      <c r="A225" s="1">
        <v>518</v>
      </c>
      <c r="B225" s="1" t="s">
        <v>764</v>
      </c>
      <c r="C225" s="1" t="s">
        <v>765</v>
      </c>
      <c r="D225" s="1">
        <v>8.8170000000000002</v>
      </c>
      <c r="E225" s="1" t="s">
        <v>766</v>
      </c>
      <c r="F225" s="1" t="s">
        <v>767</v>
      </c>
      <c r="G225" s="1">
        <v>316.16530999999998</v>
      </c>
      <c r="H225" s="2">
        <v>62578433.440819502</v>
      </c>
      <c r="I225" s="1" t="s">
        <v>23</v>
      </c>
      <c r="J225" s="1">
        <v>316.26227999999998</v>
      </c>
      <c r="K225" s="1">
        <v>317.17257999999998</v>
      </c>
      <c r="L225" s="7">
        <f>G225-J225</f>
        <v>-9.696999999999889E-2</v>
      </c>
      <c r="M225" s="1" t="s">
        <v>768</v>
      </c>
      <c r="N225" s="2">
        <v>54281720.565797798</v>
      </c>
      <c r="O225" s="1">
        <v>62578433.440819502</v>
      </c>
      <c r="P225" s="1">
        <v>61765397.897127897</v>
      </c>
      <c r="Q225" s="1">
        <f>STDEV(N225:P225)</f>
        <v>4573508.8230176326</v>
      </c>
      <c r="R225" s="1">
        <v>59541850.634581737</v>
      </c>
      <c r="S225" s="1">
        <v>7.3017231111515687E-2</v>
      </c>
    </row>
    <row r="226" spans="1:19" x14ac:dyDescent="0.3">
      <c r="A226" s="1">
        <v>508</v>
      </c>
      <c r="B226" s="1" t="s">
        <v>3030</v>
      </c>
      <c r="C226" s="1" t="s">
        <v>3031</v>
      </c>
      <c r="D226" s="1">
        <v>7.476</v>
      </c>
      <c r="E226" s="1" t="s">
        <v>3032</v>
      </c>
      <c r="F226" s="1" t="s">
        <v>3033</v>
      </c>
      <c r="G226" s="1">
        <v>218.15008</v>
      </c>
      <c r="H226" s="2">
        <v>1918326.1174572899</v>
      </c>
      <c r="I226" s="1" t="s">
        <v>17</v>
      </c>
      <c r="J226" s="1">
        <v>218.24845999999999</v>
      </c>
      <c r="K226" s="1">
        <v>217.14279999999999</v>
      </c>
      <c r="L226" s="7">
        <f>G226-J226</f>
        <v>-9.8379999999991696E-2</v>
      </c>
      <c r="M226" s="1" t="s">
        <v>3034</v>
      </c>
      <c r="N226" s="2">
        <v>1908545.6727416301</v>
      </c>
      <c r="O226" s="1">
        <v>1918326.1174572899</v>
      </c>
      <c r="P226" s="1">
        <v>1834681.7247005799</v>
      </c>
      <c r="Q226" s="1">
        <f>STDEV(N226:P226)</f>
        <v>45730.960261595603</v>
      </c>
      <c r="R226" s="1">
        <v>1887184.5049665</v>
      </c>
      <c r="S226" s="1">
        <v>2.3142879450437867E-3</v>
      </c>
    </row>
    <row r="227" spans="1:19" x14ac:dyDescent="0.3">
      <c r="A227" s="1">
        <v>422</v>
      </c>
      <c r="B227" s="1" t="s">
        <v>259</v>
      </c>
      <c r="C227" s="1" t="s">
        <v>260</v>
      </c>
      <c r="D227" s="1">
        <v>12.228999999999999</v>
      </c>
      <c r="E227" s="1" t="s">
        <v>261</v>
      </c>
      <c r="F227" s="1" t="s">
        <v>262</v>
      </c>
      <c r="G227" s="1">
        <v>338.25833</v>
      </c>
      <c r="H227" s="2">
        <v>3156325605.8989501</v>
      </c>
      <c r="I227" s="1" t="s">
        <v>23</v>
      </c>
      <c r="J227" s="1">
        <v>338.35721999999998</v>
      </c>
      <c r="K227" s="1">
        <v>339.26558999999997</v>
      </c>
      <c r="L227" s="7">
        <f>G227-J227</f>
        <v>-9.8889999999983047E-2</v>
      </c>
      <c r="M227" s="1" t="s">
        <v>68</v>
      </c>
      <c r="N227" s="2">
        <v>350352476.67751199</v>
      </c>
      <c r="O227" s="1">
        <v>243945508.64961001</v>
      </c>
      <c r="P227" s="1">
        <v>112241199.307787</v>
      </c>
      <c r="Q227" s="1">
        <f>STDEV(N227:P227)</f>
        <v>119279397.74240123</v>
      </c>
      <c r="R227" s="1">
        <v>235513061.54496965</v>
      </c>
      <c r="S227" s="1">
        <v>0.28881385884606658</v>
      </c>
    </row>
    <row r="228" spans="1:19" x14ac:dyDescent="0.3">
      <c r="A228" s="1">
        <v>430</v>
      </c>
      <c r="B228" s="1" t="s">
        <v>282</v>
      </c>
      <c r="C228" s="1" t="s">
        <v>283</v>
      </c>
      <c r="D228" s="1">
        <v>0.14699999999999999</v>
      </c>
      <c r="E228" s="1" t="s">
        <v>284</v>
      </c>
      <c r="F228" s="1" t="s">
        <v>285</v>
      </c>
      <c r="G228" s="1">
        <v>325.25936000000002</v>
      </c>
      <c r="H228" s="2">
        <v>334571561.64282602</v>
      </c>
      <c r="I228" s="1" t="s">
        <v>23</v>
      </c>
      <c r="J228" s="1">
        <v>325.35845999999998</v>
      </c>
      <c r="K228" s="1">
        <v>326.26663000000002</v>
      </c>
      <c r="L228" s="7">
        <f>G228-J228</f>
        <v>-9.9099999999964439E-2</v>
      </c>
      <c r="M228" s="1" t="s">
        <v>204</v>
      </c>
      <c r="N228" s="2">
        <v>1849646.3819697199</v>
      </c>
      <c r="O228" s="1">
        <v>263299253.661228</v>
      </c>
      <c r="P228" s="1">
        <v>334571561.64282602</v>
      </c>
      <c r="Q228" s="1">
        <f>STDEV(N228:P228)</f>
        <v>175185383.67795539</v>
      </c>
      <c r="R228" s="1">
        <v>199906820.5620079</v>
      </c>
      <c r="S228" s="1">
        <v>0.24514929183720638</v>
      </c>
    </row>
    <row r="229" spans="1:19" x14ac:dyDescent="0.3">
      <c r="A229" s="1">
        <v>462</v>
      </c>
      <c r="B229" s="1" t="s">
        <v>706</v>
      </c>
      <c r="C229" s="1" t="s">
        <v>707</v>
      </c>
      <c r="D229" s="1">
        <v>11.343999999999999</v>
      </c>
      <c r="E229" s="1" t="s">
        <v>708</v>
      </c>
      <c r="F229" s="1" t="s">
        <v>709</v>
      </c>
      <c r="G229" s="1">
        <v>300.20683000000002</v>
      </c>
      <c r="H229" s="2">
        <v>86487277.835612804</v>
      </c>
      <c r="I229" s="1" t="s">
        <v>23</v>
      </c>
      <c r="J229" s="1">
        <v>300.30594000000002</v>
      </c>
      <c r="K229" s="1">
        <v>301.21411000000001</v>
      </c>
      <c r="L229" s="7">
        <f>G229-J229</f>
        <v>-9.9109999999996035E-2</v>
      </c>
      <c r="M229" s="1" t="s">
        <v>710</v>
      </c>
      <c r="N229" s="2">
        <v>86487277.835612804</v>
      </c>
      <c r="O229" s="1">
        <v>75342715.184797302</v>
      </c>
      <c r="P229" s="1">
        <v>36428746.252546899</v>
      </c>
      <c r="Q229" s="1">
        <f>STDEV(N229:P229)</f>
        <v>26281662.932517875</v>
      </c>
      <c r="R229" s="1">
        <v>66086246.424319007</v>
      </c>
      <c r="S229" s="1">
        <v>8.1042740140402678E-2</v>
      </c>
    </row>
    <row r="230" spans="1:19" x14ac:dyDescent="0.3">
      <c r="A230" s="1">
        <v>616</v>
      </c>
      <c r="B230" s="1" t="s">
        <v>2030</v>
      </c>
      <c r="C230" s="1" t="s">
        <v>2031</v>
      </c>
      <c r="D230" s="1">
        <v>6.6029999999999998</v>
      </c>
      <c r="E230" s="1" t="s">
        <v>2032</v>
      </c>
      <c r="F230" s="1" t="s">
        <v>2033</v>
      </c>
      <c r="G230" s="1">
        <v>284.12128999999999</v>
      </c>
      <c r="H230" s="2">
        <v>77941580.455845401</v>
      </c>
      <c r="I230" s="1" t="s">
        <v>23</v>
      </c>
      <c r="J230" s="1">
        <v>284.22041999999999</v>
      </c>
      <c r="K230" s="1">
        <v>285.12855999999999</v>
      </c>
      <c r="L230" s="7">
        <f>G230-J230</f>
        <v>-9.9130000000002383E-2</v>
      </c>
      <c r="M230" s="1" t="s">
        <v>2034</v>
      </c>
      <c r="N230" s="2">
        <v>10664139.3965104</v>
      </c>
      <c r="O230" s="1">
        <v>5472455.1516502602</v>
      </c>
      <c r="P230" s="1">
        <v>5490974.4486680999</v>
      </c>
      <c r="Q230" s="1">
        <f>STDEV(N230:P230)</f>
        <v>2992088.5637593023</v>
      </c>
      <c r="R230" s="1">
        <v>7209189.665609587</v>
      </c>
      <c r="S230" s="1">
        <v>8.8407575903399448E-3</v>
      </c>
    </row>
    <row r="231" spans="1:19" x14ac:dyDescent="0.3">
      <c r="A231" s="1">
        <v>183</v>
      </c>
      <c r="B231" s="1" t="s">
        <v>676</v>
      </c>
      <c r="C231" s="1" t="s">
        <v>677</v>
      </c>
      <c r="D231" s="1">
        <v>20.074999999999999</v>
      </c>
      <c r="E231" s="1" t="s">
        <v>678</v>
      </c>
      <c r="F231" s="1" t="s">
        <v>679</v>
      </c>
      <c r="G231" s="1">
        <v>269.15300000000002</v>
      </c>
      <c r="H231" s="2">
        <v>994704674.21945</v>
      </c>
      <c r="I231" s="1" t="s">
        <v>17</v>
      </c>
      <c r="J231" s="1">
        <v>269.25214</v>
      </c>
      <c r="K231" s="1">
        <v>268.14571999999998</v>
      </c>
      <c r="L231" s="7">
        <f>G231-J231</f>
        <v>-9.9139999999977135E-2</v>
      </c>
      <c r="M231" s="1" t="s">
        <v>680</v>
      </c>
      <c r="N231" s="2">
        <v>59469529.669744998</v>
      </c>
      <c r="O231" s="1">
        <v>99433709.767819405</v>
      </c>
      <c r="P231" s="1">
        <v>52894275.0276924</v>
      </c>
      <c r="Q231" s="1">
        <f>STDEV(N231:P231)</f>
        <v>25186929.978495136</v>
      </c>
      <c r="R231" s="1">
        <v>70599171.488418937</v>
      </c>
      <c r="S231" s="1">
        <v>8.6577020463946275E-2</v>
      </c>
    </row>
    <row r="232" spans="1:19" x14ac:dyDescent="0.3">
      <c r="A232" s="1">
        <v>189</v>
      </c>
      <c r="B232" s="1" t="s">
        <v>981</v>
      </c>
      <c r="C232" s="1" t="s">
        <v>982</v>
      </c>
      <c r="D232" s="1">
        <v>0.11600000000000001</v>
      </c>
      <c r="E232" s="1" t="s">
        <v>983</v>
      </c>
      <c r="F232" s="1" t="s">
        <v>984</v>
      </c>
      <c r="G232" s="1">
        <v>323.24342999999999</v>
      </c>
      <c r="H232" s="2">
        <v>63983410.6625323</v>
      </c>
      <c r="I232" s="1" t="s">
        <v>23</v>
      </c>
      <c r="J232" s="1">
        <v>323.34258</v>
      </c>
      <c r="K232" s="1">
        <v>324.25069999999999</v>
      </c>
      <c r="L232" s="7">
        <f>G232-J232</f>
        <v>-9.9150000000008731E-2</v>
      </c>
      <c r="M232" s="1" t="s">
        <v>985</v>
      </c>
      <c r="N232" s="2">
        <v>1265957.9474772001</v>
      </c>
      <c r="O232" s="1">
        <v>61008055.1206</v>
      </c>
      <c r="P232" s="1">
        <v>63983410.6625323</v>
      </c>
      <c r="Q232" s="1">
        <f>STDEV(N232:P232)</f>
        <v>35382316.181742832</v>
      </c>
      <c r="R232" s="1">
        <v>42085807.910203166</v>
      </c>
      <c r="S232" s="1">
        <v>5.1610575249896193E-2</v>
      </c>
    </row>
    <row r="233" spans="1:19" x14ac:dyDescent="0.3">
      <c r="A233" s="1">
        <v>33</v>
      </c>
      <c r="B233" s="1" t="s">
        <v>2726</v>
      </c>
      <c r="C233" s="1" t="s">
        <v>2727</v>
      </c>
      <c r="D233" s="1">
        <v>5.3460000000000001</v>
      </c>
      <c r="E233" s="1" t="s">
        <v>2728</v>
      </c>
      <c r="F233" s="1" t="s">
        <v>2729</v>
      </c>
      <c r="G233" s="1">
        <v>238.22812999999999</v>
      </c>
      <c r="H233" s="2">
        <v>3634811.4037752701</v>
      </c>
      <c r="I233" s="1" t="s">
        <v>23</v>
      </c>
      <c r="J233" s="1">
        <v>238.32751999999999</v>
      </c>
      <c r="K233" s="1">
        <v>239.23541</v>
      </c>
      <c r="L233" s="7">
        <f>G233-J233</f>
        <v>-9.9389999999999645E-2</v>
      </c>
      <c r="M233" s="1" t="s">
        <v>24</v>
      </c>
      <c r="N233" s="2">
        <v>1264877.39044834</v>
      </c>
      <c r="O233" s="1">
        <v>3132752.7201956199</v>
      </c>
      <c r="P233" s="1">
        <v>3634811.4037752701</v>
      </c>
      <c r="Q233" s="1">
        <f>STDEV(N233:P233)</f>
        <v>1248840.0215640205</v>
      </c>
      <c r="R233" s="1">
        <v>2677480.5048064101</v>
      </c>
      <c r="S233" s="1">
        <v>3.2834419947048174E-3</v>
      </c>
    </row>
    <row r="234" spans="1:19" x14ac:dyDescent="0.3">
      <c r="A234" s="1">
        <v>481</v>
      </c>
      <c r="B234" s="1" t="s">
        <v>2864</v>
      </c>
      <c r="C234" s="1" t="s">
        <v>2865</v>
      </c>
      <c r="D234" s="1">
        <v>0.14899999999999999</v>
      </c>
      <c r="E234" s="1" t="s">
        <v>2866</v>
      </c>
      <c r="F234" s="1" t="s">
        <v>2867</v>
      </c>
      <c r="G234" s="1">
        <v>302.22223000000002</v>
      </c>
      <c r="H234" s="2">
        <v>3852477.4825645201</v>
      </c>
      <c r="I234" s="1" t="s">
        <v>344</v>
      </c>
      <c r="J234" s="1">
        <v>302.32182</v>
      </c>
      <c r="K234" s="1">
        <v>335.25565</v>
      </c>
      <c r="L234" s="7">
        <f>G234-J234</f>
        <v>-9.9589999999977863E-2</v>
      </c>
      <c r="M234" s="1" t="s">
        <v>2868</v>
      </c>
      <c r="N234" s="2">
        <v>692850.96393045504</v>
      </c>
      <c r="O234" s="1">
        <v>2346881.6707294001</v>
      </c>
      <c r="P234" s="1">
        <v>3748953.52054145</v>
      </c>
      <c r="Q234" s="1">
        <f>STDEV(N234:P234)</f>
        <v>1529781.3508033026</v>
      </c>
      <c r="R234" s="1">
        <v>2262895.3850671016</v>
      </c>
      <c r="S234" s="1">
        <v>2.7750288839134859E-3</v>
      </c>
    </row>
    <row r="235" spans="1:19" x14ac:dyDescent="0.3">
      <c r="A235" s="1">
        <v>366</v>
      </c>
      <c r="B235" s="1" t="s">
        <v>4159</v>
      </c>
      <c r="C235" s="1" t="s">
        <v>4160</v>
      </c>
      <c r="D235" s="1">
        <v>0.38900000000000001</v>
      </c>
      <c r="E235" s="1" t="s">
        <v>4161</v>
      </c>
      <c r="F235" s="1" t="s">
        <v>4162</v>
      </c>
      <c r="G235" s="1">
        <v>809.83655999999996</v>
      </c>
      <c r="H235" s="2">
        <v>1658517.48514894</v>
      </c>
      <c r="I235" s="1" t="s">
        <v>17</v>
      </c>
      <c r="J235" s="1">
        <v>809.93661999999995</v>
      </c>
      <c r="K235" s="1">
        <v>808.82928000000004</v>
      </c>
      <c r="L235" s="7">
        <f>G235-J235</f>
        <v>-0.10005999999998494</v>
      </c>
      <c r="M235" s="1" t="s">
        <v>24</v>
      </c>
      <c r="N235" s="2">
        <v>692273.377184732</v>
      </c>
      <c r="O235" s="1">
        <v>317138.613234132</v>
      </c>
      <c r="P235" s="1">
        <v>380943.13184868201</v>
      </c>
      <c r="Q235" s="1">
        <f>STDEV(N235:P235)</f>
        <v>200716.89406595886</v>
      </c>
      <c r="R235" s="1">
        <v>463451.70742251532</v>
      </c>
      <c r="S235" s="1">
        <v>5.6833907695576734E-4</v>
      </c>
    </row>
    <row r="236" spans="1:19" x14ac:dyDescent="0.3">
      <c r="A236" s="1">
        <v>647</v>
      </c>
      <c r="B236" s="1" t="s">
        <v>35</v>
      </c>
      <c r="C236" s="1" t="s">
        <v>36</v>
      </c>
      <c r="D236" s="1">
        <v>16.625</v>
      </c>
      <c r="E236" s="1" t="s">
        <v>37</v>
      </c>
      <c r="F236" s="1" t="s">
        <v>38</v>
      </c>
      <c r="G236" s="1">
        <v>356.26888000000002</v>
      </c>
      <c r="H236" s="2">
        <v>2952368308.19169</v>
      </c>
      <c r="I236" s="1" t="s">
        <v>23</v>
      </c>
      <c r="J236" s="1">
        <v>356.36919999999998</v>
      </c>
      <c r="K236" s="1">
        <v>357.27614999999997</v>
      </c>
      <c r="L236" s="7">
        <f>G236-J236</f>
        <v>-0.10031999999995378</v>
      </c>
      <c r="M236" s="1" t="s">
        <v>39</v>
      </c>
      <c r="N236" s="2">
        <v>2934824822.15276</v>
      </c>
      <c r="O236" s="1">
        <v>2952368308.19169</v>
      </c>
      <c r="P236" s="1">
        <v>1569157869.4390399</v>
      </c>
      <c r="Q236" s="1">
        <f>STDEV(N236:P236)</f>
        <v>793581031.09796643</v>
      </c>
      <c r="R236" s="1">
        <v>2485450333.2611632</v>
      </c>
      <c r="S236" s="1">
        <v>3.047951977739177</v>
      </c>
    </row>
    <row r="237" spans="1:19" x14ac:dyDescent="0.3">
      <c r="A237" s="1">
        <v>595</v>
      </c>
      <c r="B237" s="1" t="s">
        <v>3932</v>
      </c>
      <c r="C237" s="1" t="s">
        <v>3933</v>
      </c>
      <c r="D237" s="1">
        <v>9.4920000000000009</v>
      </c>
      <c r="E237" s="1" t="s">
        <v>3934</v>
      </c>
      <c r="F237" s="1" t="s">
        <v>3935</v>
      </c>
      <c r="G237" s="1">
        <v>504.34237999999999</v>
      </c>
      <c r="H237" s="2">
        <v>26079635.371737901</v>
      </c>
      <c r="I237" s="1" t="s">
        <v>17</v>
      </c>
      <c r="J237" s="1">
        <v>504.44324</v>
      </c>
      <c r="K237" s="1">
        <v>503.33512999999999</v>
      </c>
      <c r="L237" s="7">
        <f>G237-J237</f>
        <v>-0.1008600000000115</v>
      </c>
      <c r="M237" s="1" t="s">
        <v>3936</v>
      </c>
      <c r="N237" s="2">
        <v>1068702.7329955599</v>
      </c>
      <c r="O237" s="1">
        <v>669627.91685015103</v>
      </c>
      <c r="P237" s="1">
        <v>197564.15930903301</v>
      </c>
      <c r="Q237" s="1">
        <f>STDEV(N237:P237)</f>
        <v>436078.60809528502</v>
      </c>
      <c r="R237" s="1">
        <v>645298.26971824805</v>
      </c>
      <c r="S237" s="1">
        <v>7.9134075265898057E-4</v>
      </c>
    </row>
    <row r="238" spans="1:19" x14ac:dyDescent="0.3">
      <c r="A238" s="1">
        <v>597</v>
      </c>
      <c r="B238" s="1" t="s">
        <v>126</v>
      </c>
      <c r="C238" s="1" t="s">
        <v>127</v>
      </c>
      <c r="D238" s="1">
        <v>1.3819999999999999</v>
      </c>
      <c r="E238" s="1" t="s">
        <v>128</v>
      </c>
      <c r="F238" s="1" t="s">
        <v>129</v>
      </c>
      <c r="G238" s="1">
        <v>374.24061</v>
      </c>
      <c r="H238" s="2">
        <v>1223706047.83254</v>
      </c>
      <c r="I238" s="1" t="s">
        <v>23</v>
      </c>
      <c r="J238" s="1">
        <v>374.34296000000001</v>
      </c>
      <c r="K238" s="1">
        <v>375.24788999999998</v>
      </c>
      <c r="L238" s="7">
        <f>G238-J238</f>
        <v>-0.10235000000000127</v>
      </c>
      <c r="M238" s="1" t="s">
        <v>130</v>
      </c>
      <c r="N238" s="2">
        <v>29104030.3183733</v>
      </c>
      <c r="O238" s="1">
        <v>512847708.20879698</v>
      </c>
      <c r="P238" s="1">
        <v>1223706047.83254</v>
      </c>
      <c r="Q238" s="1">
        <f>STDEV(N238:P238)</f>
        <v>600888440.16734874</v>
      </c>
      <c r="R238" s="1">
        <v>588552595.4532367</v>
      </c>
      <c r="S238" s="1">
        <v>0.7217525223935839</v>
      </c>
    </row>
    <row r="239" spans="1:19" x14ac:dyDescent="0.3">
      <c r="A239" s="1">
        <v>194</v>
      </c>
      <c r="B239" s="1" t="s">
        <v>922</v>
      </c>
      <c r="C239" s="1" t="s">
        <v>923</v>
      </c>
      <c r="D239" s="1">
        <v>11.311</v>
      </c>
      <c r="E239" s="1" t="s">
        <v>924</v>
      </c>
      <c r="F239" s="1" t="s">
        <v>925</v>
      </c>
      <c r="G239" s="1">
        <v>172.12403</v>
      </c>
      <c r="H239" s="2">
        <v>69244576.534584403</v>
      </c>
      <c r="I239" s="1" t="s">
        <v>23</v>
      </c>
      <c r="J239" s="1">
        <v>172.22638000000001</v>
      </c>
      <c r="K239" s="1">
        <v>173.13130000000001</v>
      </c>
      <c r="L239" s="7">
        <f>G239-J239</f>
        <v>-0.10235000000000127</v>
      </c>
      <c r="M239" s="1" t="s">
        <v>24</v>
      </c>
      <c r="N239" s="2">
        <v>69244576.534584403</v>
      </c>
      <c r="O239" s="1">
        <v>50342705.635235503</v>
      </c>
      <c r="P239" s="1">
        <v>19852630.421889398</v>
      </c>
      <c r="Q239" s="1">
        <f>STDEV(N239:P239)</f>
        <v>24921509.286860749</v>
      </c>
      <c r="R239" s="1">
        <v>46479970.863903105</v>
      </c>
      <c r="S239" s="1">
        <v>5.6999215483823022E-2</v>
      </c>
    </row>
    <row r="240" spans="1:19" x14ac:dyDescent="0.3">
      <c r="A240" s="1">
        <v>584</v>
      </c>
      <c r="B240" s="1" t="s">
        <v>191</v>
      </c>
      <c r="C240" s="1" t="s">
        <v>192</v>
      </c>
      <c r="D240" s="1">
        <v>0.997</v>
      </c>
      <c r="E240" s="1" t="s">
        <v>193</v>
      </c>
      <c r="F240" s="1" t="s">
        <v>194</v>
      </c>
      <c r="G240" s="1">
        <v>374.24054999999998</v>
      </c>
      <c r="H240" s="2">
        <v>661879554.20811605</v>
      </c>
      <c r="I240" s="1" t="s">
        <v>23</v>
      </c>
      <c r="J240" s="1">
        <v>374.34296000000001</v>
      </c>
      <c r="K240" s="1">
        <v>375.24781999999999</v>
      </c>
      <c r="L240" s="7">
        <f>G240-J240</f>
        <v>-0.10241000000002032</v>
      </c>
      <c r="M240" s="1" t="s">
        <v>195</v>
      </c>
      <c r="N240" s="2">
        <v>10580528.395765901</v>
      </c>
      <c r="O240" s="1">
        <v>377461309.83646202</v>
      </c>
      <c r="P240" s="1">
        <v>661879554.20811605</v>
      </c>
      <c r="Q240" s="1">
        <f>STDEV(N240:P240)</f>
        <v>326518418.7112335</v>
      </c>
      <c r="R240" s="1">
        <v>349973797.48011464</v>
      </c>
      <c r="S240" s="1">
        <v>0.42917909640414442</v>
      </c>
    </row>
    <row r="241" spans="1:19" x14ac:dyDescent="0.3">
      <c r="A241" s="1">
        <v>582</v>
      </c>
      <c r="B241" s="1" t="s">
        <v>2184</v>
      </c>
      <c r="C241" s="1" t="s">
        <v>2185</v>
      </c>
      <c r="D241" s="1">
        <v>8.0739999999999998</v>
      </c>
      <c r="E241" s="1" t="s">
        <v>2186</v>
      </c>
      <c r="F241" s="1" t="s">
        <v>2187</v>
      </c>
      <c r="G241" s="1">
        <v>226.16656</v>
      </c>
      <c r="H241" s="2">
        <v>10350301.452304</v>
      </c>
      <c r="I241" s="1" t="s">
        <v>23</v>
      </c>
      <c r="J241" s="1">
        <v>226.27046000000001</v>
      </c>
      <c r="K241" s="1">
        <v>227.17384000000001</v>
      </c>
      <c r="L241" s="7">
        <f>G241-J241</f>
        <v>-0.1039000000000101</v>
      </c>
      <c r="M241" s="1" t="s">
        <v>24</v>
      </c>
      <c r="N241" s="2">
        <v>3720763.1046955301</v>
      </c>
      <c r="O241" s="1">
        <v>10350301.452304</v>
      </c>
      <c r="P241" s="1">
        <v>3392249.5120426798</v>
      </c>
      <c r="Q241" s="1">
        <f>STDEV(N241:P241)</f>
        <v>3925837.2076612157</v>
      </c>
      <c r="R241" s="1">
        <v>5821104.6896807365</v>
      </c>
      <c r="S241" s="1">
        <v>7.1385242803300381E-3</v>
      </c>
    </row>
    <row r="242" spans="1:19" x14ac:dyDescent="0.3">
      <c r="A242" s="1">
        <v>81</v>
      </c>
      <c r="B242" s="1" t="s">
        <v>2820</v>
      </c>
      <c r="C242" s="1" t="s">
        <v>2821</v>
      </c>
      <c r="D242" s="1">
        <v>21.181999999999999</v>
      </c>
      <c r="E242" s="1" t="s">
        <v>2822</v>
      </c>
      <c r="F242" s="1" t="s">
        <v>2823</v>
      </c>
      <c r="G242" s="1">
        <v>254.22284999999999</v>
      </c>
      <c r="H242" s="2">
        <v>4877644.0176144904</v>
      </c>
      <c r="I242" s="1" t="s">
        <v>23</v>
      </c>
      <c r="J242" s="1">
        <v>254.32692</v>
      </c>
      <c r="K242" s="1">
        <v>255.23013</v>
      </c>
      <c r="L242" s="7">
        <f>G242-J242</f>
        <v>-0.10407000000000721</v>
      </c>
      <c r="M242" s="1" t="s">
        <v>2824</v>
      </c>
      <c r="N242" s="2">
        <v>4877644.0176144904</v>
      </c>
      <c r="O242" s="1">
        <v>1616555.85682451</v>
      </c>
      <c r="P242" s="1">
        <v>618442.76502106001</v>
      </c>
      <c r="Q242" s="1">
        <f>STDEV(N242:P242)</f>
        <v>2227544.2773963539</v>
      </c>
      <c r="R242" s="1">
        <v>2370880.8798200199</v>
      </c>
      <c r="S242" s="1">
        <v>2.9074534179686258E-3</v>
      </c>
    </row>
    <row r="243" spans="1:19" x14ac:dyDescent="0.3">
      <c r="A243" s="1">
        <v>24</v>
      </c>
      <c r="B243" s="1" t="s">
        <v>131</v>
      </c>
      <c r="C243" s="1" t="s">
        <v>132</v>
      </c>
      <c r="D243" s="1">
        <v>0.58499999999999996</v>
      </c>
      <c r="E243" s="1" t="s">
        <v>133</v>
      </c>
      <c r="F243" s="1" t="s">
        <v>134</v>
      </c>
      <c r="G243" s="1">
        <v>374.24061999999998</v>
      </c>
      <c r="H243" s="2">
        <v>941323287.44507897</v>
      </c>
      <c r="I243" s="1" t="s">
        <v>23</v>
      </c>
      <c r="J243" s="1">
        <v>374.34472</v>
      </c>
      <c r="K243" s="1">
        <v>375.24790000000002</v>
      </c>
      <c r="L243" s="7">
        <f>G243-J243</f>
        <v>-0.10410000000001673</v>
      </c>
      <c r="M243" s="1" t="s">
        <v>130</v>
      </c>
      <c r="N243" s="2">
        <v>4581809.3888681699</v>
      </c>
      <c r="O243" s="1">
        <v>819223599.49019098</v>
      </c>
      <c r="P243" s="1">
        <v>941323287.44507897</v>
      </c>
      <c r="Q243" s="1">
        <f>STDEV(N243:P243)</f>
        <v>509253403.96327627</v>
      </c>
      <c r="R243" s="1">
        <v>588376232.10804605</v>
      </c>
      <c r="S243" s="1">
        <v>0.72153624488460266</v>
      </c>
    </row>
    <row r="244" spans="1:19" x14ac:dyDescent="0.3">
      <c r="A244" s="1">
        <v>81</v>
      </c>
      <c r="B244" s="1" t="s">
        <v>2820</v>
      </c>
      <c r="C244" s="1" t="s">
        <v>2821</v>
      </c>
      <c r="D244" s="1">
        <v>0.124</v>
      </c>
      <c r="E244" s="1" t="s">
        <v>2822</v>
      </c>
      <c r="F244" s="1" t="s">
        <v>2823</v>
      </c>
      <c r="G244" s="1">
        <v>254.22271000000001</v>
      </c>
      <c r="H244" s="2">
        <v>3614964.0369663602</v>
      </c>
      <c r="I244" s="1" t="s">
        <v>156</v>
      </c>
      <c r="J244" s="1">
        <v>254.32692</v>
      </c>
      <c r="K244" s="1">
        <v>237.21953999999999</v>
      </c>
      <c r="L244" s="7">
        <f>G244-J244</f>
        <v>-0.10420999999999481</v>
      </c>
      <c r="M244" s="1" t="s">
        <v>24</v>
      </c>
      <c r="N244" s="2">
        <v>478595.84058459097</v>
      </c>
      <c r="O244" s="1">
        <v>2242912.8920030901</v>
      </c>
      <c r="P244" s="1">
        <v>3614964.0369663602</v>
      </c>
      <c r="Q244" s="1">
        <f>STDEV(N244:P244)</f>
        <v>1572267.1775494628</v>
      </c>
      <c r="R244" s="1">
        <v>2112157.5898513473</v>
      </c>
      <c r="S244" s="1">
        <v>2.5901764429294544E-3</v>
      </c>
    </row>
    <row r="245" spans="1:19" x14ac:dyDescent="0.3">
      <c r="A245" s="1">
        <v>313</v>
      </c>
      <c r="B245" s="1" t="s">
        <v>3631</v>
      </c>
      <c r="C245" s="1" t="s">
        <v>3632</v>
      </c>
      <c r="D245" s="1">
        <v>9.8219999999999992</v>
      </c>
      <c r="E245" s="1" t="s">
        <v>3633</v>
      </c>
      <c r="F245" s="1" t="s">
        <v>3634</v>
      </c>
      <c r="G245" s="1">
        <v>193.09501</v>
      </c>
      <c r="H245" s="2">
        <v>1269717.95178559</v>
      </c>
      <c r="I245" s="1" t="s">
        <v>23</v>
      </c>
      <c r="J245" s="1">
        <v>193.19924</v>
      </c>
      <c r="K245" s="1">
        <v>194.10127</v>
      </c>
      <c r="L245" s="7">
        <f>G245-J245</f>
        <v>-0.10423000000000116</v>
      </c>
      <c r="M245" s="1" t="s">
        <v>24</v>
      </c>
      <c r="N245" s="2">
        <v>665916.47029351897</v>
      </c>
      <c r="O245" s="1">
        <v>1192074.07730775</v>
      </c>
      <c r="P245" s="1">
        <v>842938.64953308599</v>
      </c>
      <c r="Q245" s="1">
        <f>STDEV(N245:P245)</f>
        <v>267729.41137432773</v>
      </c>
      <c r="R245" s="1">
        <v>900309.73237811832</v>
      </c>
      <c r="S245" s="1">
        <v>1.1040658478092282E-3</v>
      </c>
    </row>
    <row r="246" spans="1:19" x14ac:dyDescent="0.3">
      <c r="A246" s="1">
        <v>72</v>
      </c>
      <c r="B246" s="1" t="s">
        <v>2001</v>
      </c>
      <c r="C246" s="1" t="s">
        <v>2002</v>
      </c>
      <c r="D246" s="1">
        <v>13.1</v>
      </c>
      <c r="E246" s="1" t="s">
        <v>2003</v>
      </c>
      <c r="F246" s="1" t="s">
        <v>2004</v>
      </c>
      <c r="G246" s="1">
        <v>304.23793000000001</v>
      </c>
      <c r="H246" s="2">
        <v>12804505.8117764</v>
      </c>
      <c r="I246" s="1" t="s">
        <v>23</v>
      </c>
      <c r="J246" s="1">
        <v>304.34253999999999</v>
      </c>
      <c r="K246" s="1">
        <v>305.24520999999999</v>
      </c>
      <c r="L246" s="7">
        <f>G246-J246</f>
        <v>-0.10460999999997966</v>
      </c>
      <c r="M246" s="1" t="s">
        <v>2005</v>
      </c>
      <c r="N246" s="2">
        <v>7609191.5706943097</v>
      </c>
      <c r="O246" s="1">
        <v>12804505.8117764</v>
      </c>
      <c r="P246" s="1">
        <v>1682502.1038472301</v>
      </c>
      <c r="Q246" s="1">
        <f>STDEV(N246:P246)</f>
        <v>5565008.3045642832</v>
      </c>
      <c r="R246" s="1">
        <v>7365399.8287726464</v>
      </c>
      <c r="S246" s="1">
        <v>9.0323208935305932E-3</v>
      </c>
    </row>
    <row r="247" spans="1:19" x14ac:dyDescent="0.3">
      <c r="A247" s="1">
        <v>547</v>
      </c>
      <c r="B247" s="1" t="s">
        <v>2220</v>
      </c>
      <c r="C247" s="1" t="s">
        <v>2221</v>
      </c>
      <c r="D247" s="1">
        <v>0.86899999999999999</v>
      </c>
      <c r="E247" s="1" t="s">
        <v>2222</v>
      </c>
      <c r="F247" s="1" t="s">
        <v>2223</v>
      </c>
      <c r="G247" s="1">
        <v>271.14015999999998</v>
      </c>
      <c r="H247" s="2">
        <v>7511227.1749604195</v>
      </c>
      <c r="I247" s="1" t="s">
        <v>23</v>
      </c>
      <c r="J247" s="1">
        <v>271.24484000000001</v>
      </c>
      <c r="K247" s="1">
        <v>272.14744999999999</v>
      </c>
      <c r="L247" s="7">
        <f>G247-J247</f>
        <v>-0.1046800000000303</v>
      </c>
      <c r="M247" s="1" t="s">
        <v>2224</v>
      </c>
      <c r="N247" s="2">
        <v>2735289.7195773199</v>
      </c>
      <c r="O247" s="1">
        <v>5908272.9837276703</v>
      </c>
      <c r="P247" s="1">
        <v>7511227.1749604195</v>
      </c>
      <c r="Q247" s="1">
        <f>STDEV(N247:P247)</f>
        <v>2430598.8120728619</v>
      </c>
      <c r="R247" s="1">
        <v>5384929.9594218032</v>
      </c>
      <c r="S247" s="1">
        <v>6.603635445923837E-3</v>
      </c>
    </row>
    <row r="248" spans="1:19" x14ac:dyDescent="0.3">
      <c r="A248" s="1">
        <v>586</v>
      </c>
      <c r="B248" s="1" t="s">
        <v>340</v>
      </c>
      <c r="C248" s="1" t="s">
        <v>341</v>
      </c>
      <c r="D248" s="1">
        <v>11.343</v>
      </c>
      <c r="E248" s="1" t="s">
        <v>342</v>
      </c>
      <c r="F248" s="1" t="s">
        <v>343</v>
      </c>
      <c r="G248" s="1">
        <v>242.16506000000001</v>
      </c>
      <c r="H248" s="2">
        <v>240094317.97868499</v>
      </c>
      <c r="I248" s="1" t="s">
        <v>344</v>
      </c>
      <c r="J248" s="1">
        <v>242.26985999999999</v>
      </c>
      <c r="K248" s="1">
        <v>275.19846000000001</v>
      </c>
      <c r="L248" s="7">
        <f>G248-J248</f>
        <v>-0.10479999999998313</v>
      </c>
      <c r="M248" s="1" t="s">
        <v>345</v>
      </c>
      <c r="N248" s="2">
        <v>212210526.36025301</v>
      </c>
      <c r="O248" s="1">
        <v>165753262.33542699</v>
      </c>
      <c r="P248" s="1">
        <v>69593404.466796696</v>
      </c>
      <c r="Q248" s="1">
        <f>STDEV(N248:P248)</f>
        <v>72737701.254989386</v>
      </c>
      <c r="R248" s="1">
        <v>149185731.0541589</v>
      </c>
      <c r="S248" s="1">
        <v>0.18294911708026834</v>
      </c>
    </row>
    <row r="249" spans="1:19" x14ac:dyDescent="0.3">
      <c r="A249" s="1">
        <v>720</v>
      </c>
      <c r="B249" s="1" t="s">
        <v>908</v>
      </c>
      <c r="C249" s="1" t="s">
        <v>909</v>
      </c>
      <c r="D249" s="1">
        <v>12.22</v>
      </c>
      <c r="E249" s="1" t="s">
        <v>910</v>
      </c>
      <c r="F249" s="1" t="s">
        <v>911</v>
      </c>
      <c r="G249" s="1">
        <v>374.27897999999999</v>
      </c>
      <c r="H249" s="2">
        <v>709448220.78157794</v>
      </c>
      <c r="I249" s="1" t="s">
        <v>23</v>
      </c>
      <c r="J249" s="1">
        <v>374.38448</v>
      </c>
      <c r="K249" s="1">
        <v>375.28625</v>
      </c>
      <c r="L249" s="7">
        <f>G249-J249</f>
        <v>-0.10550000000000637</v>
      </c>
      <c r="M249" s="1" t="s">
        <v>912</v>
      </c>
      <c r="N249" s="2">
        <v>77398792.051648498</v>
      </c>
      <c r="O249" s="1">
        <v>46536379.948056199</v>
      </c>
      <c r="P249" s="1">
        <v>17045400.570715498</v>
      </c>
      <c r="Q249" s="1">
        <f>STDEV(N249:P249)</f>
        <v>30179292.593701448</v>
      </c>
      <c r="R249" s="1">
        <v>46993524.190140061</v>
      </c>
      <c r="S249" s="1">
        <v>5.7628995067599553E-2</v>
      </c>
    </row>
    <row r="250" spans="1:19" x14ac:dyDescent="0.3">
      <c r="A250" s="1">
        <v>642</v>
      </c>
      <c r="B250" s="1" t="s">
        <v>811</v>
      </c>
      <c r="C250" s="1" t="s">
        <v>812</v>
      </c>
      <c r="D250" s="1">
        <v>0.59</v>
      </c>
      <c r="E250" s="1" t="s">
        <v>813</v>
      </c>
      <c r="F250" s="1" t="s">
        <v>814</v>
      </c>
      <c r="G250" s="1">
        <v>316.19938999999999</v>
      </c>
      <c r="H250" s="2">
        <v>84923721.118592605</v>
      </c>
      <c r="I250" s="1" t="s">
        <v>23</v>
      </c>
      <c r="J250" s="1">
        <v>316.30534</v>
      </c>
      <c r="K250" s="1">
        <v>317.20666999999997</v>
      </c>
      <c r="L250" s="7">
        <f>G250-J250</f>
        <v>-0.10595000000000709</v>
      </c>
      <c r="M250" s="1" t="s">
        <v>748</v>
      </c>
      <c r="N250" s="2">
        <v>3690347.18135165</v>
      </c>
      <c r="O250" s="1">
        <v>84923721.118592605</v>
      </c>
      <c r="P250" s="1">
        <v>75704249.755137697</v>
      </c>
      <c r="Q250" s="1">
        <f>STDEV(N250:P250)</f>
        <v>44478200.385799348</v>
      </c>
      <c r="R250" s="1">
        <v>54772772.685027324</v>
      </c>
      <c r="S250" s="1">
        <v>6.71688259457347E-2</v>
      </c>
    </row>
    <row r="251" spans="1:19" x14ac:dyDescent="0.3">
      <c r="A251" s="1">
        <v>626</v>
      </c>
      <c r="B251" s="1" t="s">
        <v>744</v>
      </c>
      <c r="C251" s="1" t="s">
        <v>745</v>
      </c>
      <c r="D251" s="1">
        <v>1.3480000000000001</v>
      </c>
      <c r="E251" s="1" t="s">
        <v>746</v>
      </c>
      <c r="F251" s="1" t="s">
        <v>747</v>
      </c>
      <c r="G251" s="1">
        <v>316.19929999999999</v>
      </c>
      <c r="H251" s="2">
        <v>95297813.372014999</v>
      </c>
      <c r="I251" s="1" t="s">
        <v>23</v>
      </c>
      <c r="J251" s="1">
        <v>316.30534</v>
      </c>
      <c r="K251" s="1">
        <v>317.20657</v>
      </c>
      <c r="L251" s="7">
        <f>G251-J251</f>
        <v>-0.10604000000000724</v>
      </c>
      <c r="M251" s="1" t="s">
        <v>748</v>
      </c>
      <c r="N251" s="2">
        <v>5301968.6769511104</v>
      </c>
      <c r="O251" s="1">
        <v>84923721.118592605</v>
      </c>
      <c r="P251" s="1">
        <v>95297813.372014999</v>
      </c>
      <c r="Q251" s="1">
        <f>STDEV(N251:P251)</f>
        <v>49238361.2547822</v>
      </c>
      <c r="R251" s="1">
        <v>61841167.722519577</v>
      </c>
      <c r="S251" s="1">
        <v>7.5836924577863951E-2</v>
      </c>
    </row>
    <row r="252" spans="1:19" x14ac:dyDescent="0.3">
      <c r="A252" s="1">
        <v>335</v>
      </c>
      <c r="B252" s="1" t="s">
        <v>918</v>
      </c>
      <c r="C252" s="1" t="s">
        <v>919</v>
      </c>
      <c r="D252" s="1">
        <v>11.316000000000001</v>
      </c>
      <c r="E252" s="1" t="s">
        <v>920</v>
      </c>
      <c r="F252" s="1" t="s">
        <v>921</v>
      </c>
      <c r="G252" s="1">
        <v>190.13458</v>
      </c>
      <c r="H252" s="2">
        <v>69244576.534584403</v>
      </c>
      <c r="I252" s="1" t="s">
        <v>156</v>
      </c>
      <c r="J252" s="1">
        <v>190.24166</v>
      </c>
      <c r="K252" s="1">
        <v>173.13132999999999</v>
      </c>
      <c r="L252" s="7">
        <f>G252-J252</f>
        <v>-0.10707999999999629</v>
      </c>
      <c r="M252" s="1" t="s">
        <v>24</v>
      </c>
      <c r="N252" s="2">
        <v>69244576.534584403</v>
      </c>
      <c r="O252" s="1">
        <v>50342705.635235503</v>
      </c>
      <c r="P252" s="1">
        <v>19852630.421889398</v>
      </c>
      <c r="Q252" s="1">
        <f>STDEV(N252:P252)</f>
        <v>24921509.286860749</v>
      </c>
      <c r="R252" s="1">
        <v>46479970.863903105</v>
      </c>
      <c r="S252" s="1">
        <v>5.6999215483823022E-2</v>
      </c>
    </row>
    <row r="253" spans="1:19" x14ac:dyDescent="0.3">
      <c r="A253" s="1">
        <v>1015</v>
      </c>
      <c r="B253" s="1" t="s">
        <v>3771</v>
      </c>
      <c r="C253" s="1" t="s">
        <v>3772</v>
      </c>
      <c r="D253" s="1">
        <v>19.111000000000001</v>
      </c>
      <c r="E253" s="1"/>
      <c r="F253" s="1" t="s">
        <v>3773</v>
      </c>
      <c r="G253" s="1">
        <v>186.09943999999999</v>
      </c>
      <c r="H253" s="2">
        <v>1099613.9704343299</v>
      </c>
      <c r="I253" s="1" t="s">
        <v>23</v>
      </c>
      <c r="J253" s="1">
        <v>186.20660000000001</v>
      </c>
      <c r="K253" s="1">
        <v>187.10669999999999</v>
      </c>
      <c r="L253" s="7">
        <f>G253-J253</f>
        <v>-0.10716000000002168</v>
      </c>
      <c r="M253" s="1" t="s">
        <v>24</v>
      </c>
      <c r="N253" s="2">
        <v>758518.40575770801</v>
      </c>
      <c r="O253" s="1">
        <v>1099613.9704343299</v>
      </c>
      <c r="P253" s="1">
        <v>508956.41692695499</v>
      </c>
      <c r="Q253" s="1">
        <f>STDEV(N253:P253)</f>
        <v>296508.49229730963</v>
      </c>
      <c r="R253" s="1">
        <v>789029.59770633094</v>
      </c>
      <c r="S253" s="1">
        <v>9.6760103818620811E-4</v>
      </c>
    </row>
    <row r="254" spans="1:19" x14ac:dyDescent="0.3">
      <c r="A254" s="1">
        <v>573</v>
      </c>
      <c r="B254" s="1" t="s">
        <v>4380</v>
      </c>
      <c r="C254" s="1" t="s">
        <v>4381</v>
      </c>
      <c r="D254" s="1">
        <v>20.370999999999999</v>
      </c>
      <c r="E254" s="1" t="s">
        <v>4382</v>
      </c>
      <c r="F254" s="1" t="s">
        <v>4383</v>
      </c>
      <c r="G254" s="1">
        <v>186.09939</v>
      </c>
      <c r="H254" s="2">
        <v>295917.67161492299</v>
      </c>
      <c r="I254" s="1" t="s">
        <v>23</v>
      </c>
      <c r="J254" s="1">
        <v>186.20660000000001</v>
      </c>
      <c r="K254" s="1">
        <v>187.10669999999999</v>
      </c>
      <c r="L254" s="7">
        <f>G254-J254</f>
        <v>-0.10721000000000913</v>
      </c>
      <c r="M254" s="1" t="s">
        <v>24</v>
      </c>
      <c r="N254" s="2">
        <v>295917.67161492299</v>
      </c>
      <c r="O254" s="1">
        <v>291939.89501901699</v>
      </c>
      <c r="P254" s="1">
        <v>168218.80031352601</v>
      </c>
      <c r="Q254" s="1">
        <f>STDEV(N254:P254)</f>
        <v>72605.938362990899</v>
      </c>
      <c r="R254" s="1">
        <v>252025.45564915534</v>
      </c>
      <c r="S254" s="1">
        <v>3.0906330161043866E-4</v>
      </c>
    </row>
    <row r="255" spans="1:19" x14ac:dyDescent="0.3">
      <c r="A255" s="1">
        <v>747</v>
      </c>
      <c r="B255" s="1" t="s">
        <v>1508</v>
      </c>
      <c r="C255" s="1" t="s">
        <v>1509</v>
      </c>
      <c r="D255" s="1">
        <v>0.77400000000000002</v>
      </c>
      <c r="E255" s="1" t="s">
        <v>1510</v>
      </c>
      <c r="F255" s="1" t="s">
        <v>1511</v>
      </c>
      <c r="G255" s="1">
        <v>164.09384</v>
      </c>
      <c r="H255" s="2">
        <v>25802030.068860099</v>
      </c>
      <c r="I255" s="1" t="s">
        <v>344</v>
      </c>
      <c r="J255" s="1">
        <v>164.20107999999999</v>
      </c>
      <c r="K255" s="1">
        <v>197.12715</v>
      </c>
      <c r="L255" s="7">
        <f>G255-J255</f>
        <v>-0.10723999999999023</v>
      </c>
      <c r="M255" s="1" t="s">
        <v>24</v>
      </c>
      <c r="N255" s="2">
        <v>8803473.8405162599</v>
      </c>
      <c r="O255" s="1">
        <v>25802030.068860099</v>
      </c>
      <c r="P255" s="1">
        <v>10506221.5972868</v>
      </c>
      <c r="Q255" s="1">
        <f>STDEV(N255:P255)</f>
        <v>9361374.7260610517</v>
      </c>
      <c r="R255" s="1">
        <v>15037241.835554386</v>
      </c>
      <c r="S255" s="1">
        <v>1.8440437283767003E-2</v>
      </c>
    </row>
    <row r="256" spans="1:19" x14ac:dyDescent="0.3">
      <c r="A256" s="1">
        <v>1007</v>
      </c>
      <c r="B256" s="1" t="s">
        <v>1974</v>
      </c>
      <c r="C256" s="1" t="s">
        <v>1975</v>
      </c>
      <c r="D256" s="1">
        <v>24.779</v>
      </c>
      <c r="E256" s="1"/>
      <c r="F256" s="1" t="s">
        <v>1976</v>
      </c>
      <c r="G256" s="1">
        <v>282.23275999999998</v>
      </c>
      <c r="H256" s="2">
        <v>20383795.5020939</v>
      </c>
      <c r="I256" s="1" t="s">
        <v>23</v>
      </c>
      <c r="J256" s="1">
        <v>282.33999999999997</v>
      </c>
      <c r="K256" s="1">
        <v>283.24004000000002</v>
      </c>
      <c r="L256" s="7">
        <f>G256-J256</f>
        <v>-0.10723999999999023</v>
      </c>
      <c r="M256" s="1" t="s">
        <v>24</v>
      </c>
      <c r="N256" s="2">
        <v>1006461.1646953101</v>
      </c>
      <c r="O256" s="1">
        <v>1130156.0219103899</v>
      </c>
      <c r="P256" s="1">
        <v>20383795.5020939</v>
      </c>
      <c r="Q256" s="1">
        <f>STDEV(N256:P256)</f>
        <v>11151973.066636452</v>
      </c>
      <c r="R256" s="1">
        <v>7506804.2295665331</v>
      </c>
      <c r="S256" s="1">
        <v>9.2057276268267853E-3</v>
      </c>
    </row>
    <row r="257" spans="1:19" x14ac:dyDescent="0.3">
      <c r="A257" s="1">
        <v>756</v>
      </c>
      <c r="B257" s="1" t="s">
        <v>3266</v>
      </c>
      <c r="C257" s="1" t="s">
        <v>3267</v>
      </c>
      <c r="D257" s="1">
        <v>1.1919999999999999</v>
      </c>
      <c r="E257" s="1" t="s">
        <v>3268</v>
      </c>
      <c r="F257" s="1" t="s">
        <v>3269</v>
      </c>
      <c r="G257" s="1">
        <v>166.1097</v>
      </c>
      <c r="H257" s="2">
        <v>13641523.577875501</v>
      </c>
      <c r="I257" s="1" t="s">
        <v>156</v>
      </c>
      <c r="J257" s="1">
        <v>166.21696</v>
      </c>
      <c r="K257" s="1">
        <v>149.10640000000001</v>
      </c>
      <c r="L257" s="7">
        <f>G257-J257</f>
        <v>-0.10725999999999658</v>
      </c>
      <c r="M257" s="1" t="s">
        <v>24</v>
      </c>
      <c r="N257" s="2">
        <v>1218562.9059772801</v>
      </c>
      <c r="O257" s="1">
        <v>1465281.6335988401</v>
      </c>
      <c r="P257" s="1">
        <v>1614363.2283216501</v>
      </c>
      <c r="Q257" s="1">
        <f>STDEV(N257:P257)</f>
        <v>199897.20175305277</v>
      </c>
      <c r="R257" s="1">
        <v>1432735.9226325899</v>
      </c>
      <c r="S257" s="1">
        <v>1.7569895606146097E-3</v>
      </c>
    </row>
    <row r="258" spans="1:19" x14ac:dyDescent="0.3">
      <c r="A258" s="1">
        <v>612</v>
      </c>
      <c r="B258" s="1" t="s">
        <v>614</v>
      </c>
      <c r="C258" s="1" t="s">
        <v>615</v>
      </c>
      <c r="D258" s="1">
        <v>5.8380000000000001</v>
      </c>
      <c r="E258" s="1" t="s">
        <v>616</v>
      </c>
      <c r="F258" s="1" t="s">
        <v>617</v>
      </c>
      <c r="G258" s="1">
        <v>208.14496</v>
      </c>
      <c r="H258" s="2">
        <v>144508472.92727101</v>
      </c>
      <c r="I258" s="1" t="s">
        <v>23</v>
      </c>
      <c r="J258" s="1">
        <v>208.25363999999999</v>
      </c>
      <c r="K258" s="1">
        <v>209.15224000000001</v>
      </c>
      <c r="L258" s="7">
        <f>G258-J258</f>
        <v>-0.10867999999999256</v>
      </c>
      <c r="M258" s="1" t="s">
        <v>618</v>
      </c>
      <c r="N258" s="2">
        <v>45919926.809756599</v>
      </c>
      <c r="O258" s="1">
        <v>61363015.880096301</v>
      </c>
      <c r="P258" s="1">
        <v>140437514.98982599</v>
      </c>
      <c r="Q258" s="1">
        <f>STDEV(N258:P258)</f>
        <v>50703122.660026707</v>
      </c>
      <c r="R258" s="1">
        <v>82573485.893226296</v>
      </c>
      <c r="S258" s="1">
        <v>0.10126133532785077</v>
      </c>
    </row>
    <row r="259" spans="1:19" x14ac:dyDescent="0.3">
      <c r="A259" s="1">
        <v>486</v>
      </c>
      <c r="B259" s="1" t="s">
        <v>3441</v>
      </c>
      <c r="C259" s="1" t="s">
        <v>3442</v>
      </c>
      <c r="D259" s="1">
        <v>7.3570000000000002</v>
      </c>
      <c r="E259" s="1" t="s">
        <v>3443</v>
      </c>
      <c r="F259" s="1" t="s">
        <v>3444</v>
      </c>
      <c r="G259" s="1">
        <v>256.14452</v>
      </c>
      <c r="H259" s="2">
        <v>122665176.829753</v>
      </c>
      <c r="I259" s="1" t="s">
        <v>23</v>
      </c>
      <c r="J259" s="1">
        <v>256.25337999999999</v>
      </c>
      <c r="K259" s="1">
        <v>257.15179000000001</v>
      </c>
      <c r="L259" s="7">
        <f>G259-J259</f>
        <v>-0.10885999999999285</v>
      </c>
      <c r="M259" s="1" t="s">
        <v>3445</v>
      </c>
      <c r="N259" s="2">
        <v>1101472.6320889799</v>
      </c>
      <c r="O259" s="1">
        <v>1041192.69677939</v>
      </c>
      <c r="P259" s="1">
        <v>1195847.1801577001</v>
      </c>
      <c r="Q259" s="1">
        <f>STDEV(N259:P259)</f>
        <v>77951.090598652008</v>
      </c>
      <c r="R259" s="1">
        <v>1112837.50300869</v>
      </c>
      <c r="S259" s="1">
        <v>1.3646924353331088E-3</v>
      </c>
    </row>
    <row r="260" spans="1:19" x14ac:dyDescent="0.3">
      <c r="A260" s="1">
        <v>1004</v>
      </c>
      <c r="B260" s="1" t="s">
        <v>788</v>
      </c>
      <c r="C260" s="1" t="s">
        <v>789</v>
      </c>
      <c r="D260" s="1">
        <v>7.2770000000000001</v>
      </c>
      <c r="E260" s="1" t="s">
        <v>790</v>
      </c>
      <c r="F260" s="1" t="s">
        <v>791</v>
      </c>
      <c r="G260" s="1">
        <v>210.16065</v>
      </c>
      <c r="H260" s="2">
        <v>73440505.368592903</v>
      </c>
      <c r="I260" s="1" t="s">
        <v>156</v>
      </c>
      <c r="J260" s="1">
        <v>210.26952</v>
      </c>
      <c r="K260" s="1">
        <v>193.15754999999999</v>
      </c>
      <c r="L260" s="7">
        <f>G260-J260</f>
        <v>-0.10886999999999603</v>
      </c>
      <c r="M260" s="1" t="s">
        <v>24</v>
      </c>
      <c r="N260" s="2">
        <v>66624640.919563003</v>
      </c>
      <c r="O260" s="1">
        <v>32363674.053341899</v>
      </c>
      <c r="P260" s="1">
        <v>73440505.368592903</v>
      </c>
      <c r="Q260" s="1">
        <f>STDEV(N260:P260)</f>
        <v>22013541.020992193</v>
      </c>
      <c r="R260" s="1">
        <v>57476273.447165936</v>
      </c>
      <c r="S260" s="1">
        <v>7.0484177045093771E-2</v>
      </c>
    </row>
    <row r="261" spans="1:19" x14ac:dyDescent="0.3">
      <c r="A261" s="1">
        <v>456</v>
      </c>
      <c r="B261" s="1" t="s">
        <v>3337</v>
      </c>
      <c r="C261" s="1" t="s">
        <v>3338</v>
      </c>
      <c r="D261" s="1">
        <v>11.206</v>
      </c>
      <c r="E261" s="1" t="s">
        <v>3339</v>
      </c>
      <c r="F261" s="1" t="s">
        <v>3340</v>
      </c>
      <c r="G261" s="1">
        <v>258.16018000000003</v>
      </c>
      <c r="H261" s="2">
        <v>2474943.9300482902</v>
      </c>
      <c r="I261" s="1" t="s">
        <v>23</v>
      </c>
      <c r="J261" s="1">
        <v>258.26925999999997</v>
      </c>
      <c r="K261" s="1">
        <v>259.16744999999997</v>
      </c>
      <c r="L261" s="7">
        <f>G261-J261</f>
        <v>-0.109079999999949</v>
      </c>
      <c r="M261" s="1" t="s">
        <v>24</v>
      </c>
      <c r="N261" s="2">
        <v>848139.68603437196</v>
      </c>
      <c r="O261" s="1">
        <v>2474943.9300482902</v>
      </c>
      <c r="P261" s="1">
        <v>397087.28805594699</v>
      </c>
      <c r="Q261" s="1">
        <f>STDEV(N261:P261)</f>
        <v>1092964.5113738049</v>
      </c>
      <c r="R261" s="1">
        <v>1240056.968046203</v>
      </c>
      <c r="S261" s="1">
        <v>1.5207039294590965E-3</v>
      </c>
    </row>
    <row r="262" spans="1:19" x14ac:dyDescent="0.3">
      <c r="A262" s="1">
        <v>1001</v>
      </c>
      <c r="B262" s="1" t="s">
        <v>1360</v>
      </c>
      <c r="C262" s="1" t="s">
        <v>574</v>
      </c>
      <c r="D262" s="1">
        <v>0.32700000000000001</v>
      </c>
      <c r="E262" s="1"/>
      <c r="F262" s="1" t="s">
        <v>1361</v>
      </c>
      <c r="G262" s="1">
        <v>210.16087999999999</v>
      </c>
      <c r="H262" s="2">
        <v>28881801.604936399</v>
      </c>
      <c r="I262" s="1" t="s">
        <v>23</v>
      </c>
      <c r="J262" s="1">
        <v>210.27</v>
      </c>
      <c r="K262" s="1">
        <v>211.16788</v>
      </c>
      <c r="L262" s="7">
        <f>G262-J262</f>
        <v>-0.10912000000001854</v>
      </c>
      <c r="M262" s="1" t="s">
        <v>24</v>
      </c>
      <c r="N262" s="2">
        <v>15278713.545780299</v>
      </c>
      <c r="O262" s="1">
        <v>28881801.604936399</v>
      </c>
      <c r="P262" s="1">
        <v>15255806.0092692</v>
      </c>
      <c r="Q262" s="1">
        <f>STDEV(N262:P262)</f>
        <v>7860367.7339075161</v>
      </c>
      <c r="R262" s="1">
        <v>19805440.386661965</v>
      </c>
      <c r="S262" s="1">
        <v>2.4287764027581812E-2</v>
      </c>
    </row>
    <row r="263" spans="1:19" x14ac:dyDescent="0.3">
      <c r="A263" s="1">
        <v>1003</v>
      </c>
      <c r="B263" s="1" t="s">
        <v>573</v>
      </c>
      <c r="C263" s="1" t="s">
        <v>574</v>
      </c>
      <c r="D263" s="1">
        <v>8.4710000000000001</v>
      </c>
      <c r="E263" s="1"/>
      <c r="F263" s="1" t="s">
        <v>575</v>
      </c>
      <c r="G263" s="1">
        <v>210.16070999999999</v>
      </c>
      <c r="H263" s="2">
        <v>129129728.869845</v>
      </c>
      <c r="I263" s="1" t="s">
        <v>23</v>
      </c>
      <c r="J263" s="1">
        <v>210.27</v>
      </c>
      <c r="K263" s="1">
        <v>211.16793999999999</v>
      </c>
      <c r="L263" s="7">
        <f>G263-J263</f>
        <v>-0.10929000000001565</v>
      </c>
      <c r="M263" s="1" t="s">
        <v>24</v>
      </c>
      <c r="N263" s="2">
        <v>71780739.172353104</v>
      </c>
      <c r="O263" s="1">
        <v>60214425.102476597</v>
      </c>
      <c r="P263" s="1">
        <v>129129728.869845</v>
      </c>
      <c r="Q263" s="1">
        <f>STDEV(N263:P263)</f>
        <v>36905296.218462333</v>
      </c>
      <c r="R263" s="1">
        <v>87041631.048224911</v>
      </c>
      <c r="S263" s="1">
        <v>0.10674070125190632</v>
      </c>
    </row>
    <row r="264" spans="1:19" x14ac:dyDescent="0.3">
      <c r="A264" s="1">
        <v>403</v>
      </c>
      <c r="B264" s="1" t="s">
        <v>1215</v>
      </c>
      <c r="C264" s="1" t="s">
        <v>1216</v>
      </c>
      <c r="D264" s="1">
        <v>10.154999999999999</v>
      </c>
      <c r="E264" s="1" t="s">
        <v>1217</v>
      </c>
      <c r="F264" s="1" t="s">
        <v>1218</v>
      </c>
      <c r="G264" s="1">
        <v>289.25959999999998</v>
      </c>
      <c r="H264" s="2">
        <v>40101491.122350998</v>
      </c>
      <c r="I264" s="1" t="s">
        <v>156</v>
      </c>
      <c r="J264" s="1">
        <v>289.36941999999999</v>
      </c>
      <c r="K264" s="1">
        <v>272.25635999999997</v>
      </c>
      <c r="L264" s="7">
        <f>G264-J264</f>
        <v>-0.10982000000001335</v>
      </c>
      <c r="M264" s="1" t="s">
        <v>1219</v>
      </c>
      <c r="N264" s="2">
        <v>40101491.122350998</v>
      </c>
      <c r="O264" s="1">
        <v>31784834.242593002</v>
      </c>
      <c r="P264" s="1">
        <v>14211105.664880401</v>
      </c>
      <c r="Q264" s="1">
        <f>STDEV(N264:P264)</f>
        <v>13218136.384750215</v>
      </c>
      <c r="R264" s="1">
        <v>28699143.67660813</v>
      </c>
      <c r="S264" s="1">
        <v>3.5194270655074515E-2</v>
      </c>
    </row>
    <row r="265" spans="1:19" x14ac:dyDescent="0.3">
      <c r="A265" s="1">
        <v>799</v>
      </c>
      <c r="B265" s="1" t="s">
        <v>538</v>
      </c>
      <c r="C265" s="1" t="s">
        <v>539</v>
      </c>
      <c r="D265" s="1">
        <v>12.333</v>
      </c>
      <c r="E265" s="1" t="s">
        <v>540</v>
      </c>
      <c r="F265" s="1" t="s">
        <v>541</v>
      </c>
      <c r="G265" s="1">
        <v>358.27514000000002</v>
      </c>
      <c r="H265" s="2">
        <v>1337220414.6515999</v>
      </c>
      <c r="I265" s="1" t="s">
        <v>23</v>
      </c>
      <c r="J265" s="1">
        <v>358.38508000000002</v>
      </c>
      <c r="K265" s="1">
        <v>359.28237999999999</v>
      </c>
      <c r="L265" s="7">
        <f>G265-J265</f>
        <v>-0.1099399999999946</v>
      </c>
      <c r="M265" s="1" t="s">
        <v>542</v>
      </c>
      <c r="N265" s="2">
        <v>155924327.914303</v>
      </c>
      <c r="O265" s="1">
        <v>92880949.096102193</v>
      </c>
      <c r="P265" s="1">
        <v>42479480.971283503</v>
      </c>
      <c r="Q265" s="1">
        <f>STDEV(N265:P265)</f>
        <v>56839699.887604125</v>
      </c>
      <c r="R265" s="1">
        <v>97094919.327229559</v>
      </c>
      <c r="S265" s="1">
        <v>0.11906922758884944</v>
      </c>
    </row>
    <row r="266" spans="1:19" x14ac:dyDescent="0.3">
      <c r="A266" s="1">
        <v>10</v>
      </c>
      <c r="B266" s="1" t="s">
        <v>514</v>
      </c>
      <c r="C266" s="1" t="s">
        <v>515</v>
      </c>
      <c r="D266" s="1">
        <v>12.11</v>
      </c>
      <c r="E266" s="1" t="s">
        <v>516</v>
      </c>
      <c r="F266" s="1" t="s">
        <v>517</v>
      </c>
      <c r="G266" s="1">
        <v>326.19168000000002</v>
      </c>
      <c r="H266" s="2">
        <v>145381784.19632599</v>
      </c>
      <c r="I266" s="1" t="s">
        <v>23</v>
      </c>
      <c r="J266" s="1">
        <v>326.30192</v>
      </c>
      <c r="K266" s="1">
        <v>327.19902000000002</v>
      </c>
      <c r="L266" s="7">
        <f>G266-J266</f>
        <v>-0.11023999999997613</v>
      </c>
      <c r="M266" s="1" t="s">
        <v>145</v>
      </c>
      <c r="N266" s="2">
        <v>104472438.055896</v>
      </c>
      <c r="O266" s="1">
        <v>117933096.66764</v>
      </c>
      <c r="P266" s="1">
        <v>75635536.156056598</v>
      </c>
      <c r="Q266" s="1">
        <f>STDEV(N266:P266)</f>
        <v>21609565.268934127</v>
      </c>
      <c r="R266" s="1">
        <v>99347023.626530871</v>
      </c>
      <c r="S266" s="1">
        <v>0.12183102317223722</v>
      </c>
    </row>
    <row r="267" spans="1:19" x14ac:dyDescent="0.3">
      <c r="A267" s="1">
        <v>490</v>
      </c>
      <c r="B267" s="1" t="s">
        <v>1953</v>
      </c>
      <c r="C267" s="1" t="s">
        <v>1954</v>
      </c>
      <c r="D267" s="1">
        <v>12.122</v>
      </c>
      <c r="E267" s="1" t="s">
        <v>1955</v>
      </c>
      <c r="F267" s="1" t="s">
        <v>1956</v>
      </c>
      <c r="G267" s="1">
        <v>466.32585999999998</v>
      </c>
      <c r="H267" s="2">
        <v>15769288.338169301</v>
      </c>
      <c r="I267" s="1" t="s">
        <v>23</v>
      </c>
      <c r="J267" s="1">
        <v>466.43678</v>
      </c>
      <c r="K267" s="1">
        <v>467.33316000000002</v>
      </c>
      <c r="L267" s="7">
        <f>G267-J267</f>
        <v>-0.11092000000002145</v>
      </c>
      <c r="M267" s="1" t="s">
        <v>1957</v>
      </c>
      <c r="N267" s="2">
        <v>15462924.108931899</v>
      </c>
      <c r="O267" s="1">
        <v>4181093.5506776199</v>
      </c>
      <c r="P267" s="1">
        <v>3248087.2568865502</v>
      </c>
      <c r="Q267" s="1">
        <f>STDEV(N267:P267)</f>
        <v>6798926.8860546295</v>
      </c>
      <c r="R267" s="1">
        <v>7630701.6388320224</v>
      </c>
      <c r="S267" s="1">
        <v>9.3576652248362445E-3</v>
      </c>
    </row>
    <row r="268" spans="1:19" x14ac:dyDescent="0.3">
      <c r="A268" s="1">
        <v>349</v>
      </c>
      <c r="B268" s="1" t="s">
        <v>2803</v>
      </c>
      <c r="C268" s="1" t="s">
        <v>2804</v>
      </c>
      <c r="D268" s="1">
        <v>8.8999999999999996E-2</v>
      </c>
      <c r="E268" s="1" t="s">
        <v>2805</v>
      </c>
      <c r="F268" s="1" t="s">
        <v>2806</v>
      </c>
      <c r="G268" s="1">
        <v>244.22075000000001</v>
      </c>
      <c r="H268" s="2">
        <v>5846135.5508486703</v>
      </c>
      <c r="I268" s="1" t="s">
        <v>23</v>
      </c>
      <c r="J268" s="1">
        <v>244.3321</v>
      </c>
      <c r="K268" s="1">
        <v>245.22806</v>
      </c>
      <c r="L268" s="7">
        <f>G268-J268</f>
        <v>-0.1113499999999874</v>
      </c>
      <c r="M268" s="1" t="s">
        <v>24</v>
      </c>
      <c r="N268" s="2">
        <v>417405.36063724698</v>
      </c>
      <c r="O268" s="1">
        <v>5846135.5508486703</v>
      </c>
      <c r="P268" s="1">
        <v>1036174.76165943</v>
      </c>
      <c r="Q268" s="1">
        <f>STDEV(N268:P268)</f>
        <v>2971803.8810149273</v>
      </c>
      <c r="R268" s="1">
        <v>2433238.5577151156</v>
      </c>
      <c r="S268" s="1">
        <v>2.9839237481635557E-3</v>
      </c>
    </row>
    <row r="269" spans="1:19" x14ac:dyDescent="0.3">
      <c r="A269" s="1">
        <v>478</v>
      </c>
      <c r="B269" s="1" t="s">
        <v>2006</v>
      </c>
      <c r="C269" s="1" t="s">
        <v>2007</v>
      </c>
      <c r="D269" s="1">
        <v>8.7840000000000007</v>
      </c>
      <c r="E269" s="1" t="s">
        <v>2008</v>
      </c>
      <c r="F269" s="1" t="s">
        <v>2009</v>
      </c>
      <c r="G269" s="1">
        <v>450.28095999999999</v>
      </c>
      <c r="H269" s="2">
        <v>7820806.2909417497</v>
      </c>
      <c r="I269" s="1" t="s">
        <v>17</v>
      </c>
      <c r="J269" s="1">
        <v>450.39278000000002</v>
      </c>
      <c r="K269" s="1">
        <v>449.27368000000001</v>
      </c>
      <c r="L269" s="7">
        <f>G269-J269</f>
        <v>-0.1118200000000229</v>
      </c>
      <c r="M269" s="1" t="s">
        <v>2010</v>
      </c>
      <c r="N269" s="2">
        <v>7820806.2909417497</v>
      </c>
      <c r="O269" s="1">
        <v>6576563.8813781198</v>
      </c>
      <c r="P269" s="1">
        <v>7693938.8139350396</v>
      </c>
      <c r="Q269" s="1">
        <f>STDEV(N269:P269)</f>
        <v>684684.99696153903</v>
      </c>
      <c r="R269" s="1">
        <v>7363769.6620849697</v>
      </c>
      <c r="S269" s="1">
        <v>9.0303217911090906E-3</v>
      </c>
    </row>
    <row r="270" spans="1:19" x14ac:dyDescent="0.3">
      <c r="A270" s="1">
        <v>520</v>
      </c>
      <c r="B270" s="1" t="s">
        <v>2785</v>
      </c>
      <c r="C270" s="1" t="s">
        <v>2786</v>
      </c>
      <c r="D270" s="1">
        <v>0.48799999999999999</v>
      </c>
      <c r="E270" s="1" t="s">
        <v>2787</v>
      </c>
      <c r="F270" s="1" t="s">
        <v>2788</v>
      </c>
      <c r="G270" s="1">
        <v>446.24851000000001</v>
      </c>
      <c r="H270" s="2">
        <v>4031206.87715293</v>
      </c>
      <c r="I270" s="1" t="s">
        <v>290</v>
      </c>
      <c r="J270" s="1">
        <v>446.36102</v>
      </c>
      <c r="K270" s="1">
        <v>224.13153</v>
      </c>
      <c r="L270" s="7">
        <f>G270-J270</f>
        <v>-0.11250999999998612</v>
      </c>
      <c r="M270" s="1" t="s">
        <v>2789</v>
      </c>
      <c r="N270" s="2">
        <v>380315.40176155599</v>
      </c>
      <c r="O270" s="1">
        <v>3096375.3901843</v>
      </c>
      <c r="P270" s="1">
        <v>4031206.87715293</v>
      </c>
      <c r="Q270" s="1">
        <f>STDEV(N270:P270)</f>
        <v>1896483.6028302636</v>
      </c>
      <c r="R270" s="1">
        <v>2502632.556366262</v>
      </c>
      <c r="S270" s="1">
        <v>3.0690228437284502E-3</v>
      </c>
    </row>
    <row r="271" spans="1:19" x14ac:dyDescent="0.3">
      <c r="A271" s="1">
        <v>184</v>
      </c>
      <c r="B271" s="1" t="s">
        <v>374</v>
      </c>
      <c r="C271" s="1" t="s">
        <v>375</v>
      </c>
      <c r="D271" s="1">
        <v>0.90300000000000002</v>
      </c>
      <c r="E271" s="1" t="s">
        <v>376</v>
      </c>
      <c r="F271" s="1" t="s">
        <v>377</v>
      </c>
      <c r="G271" s="1">
        <v>265.15068000000002</v>
      </c>
      <c r="H271" s="2">
        <v>324541657.174034</v>
      </c>
      <c r="I271" s="1" t="s">
        <v>23</v>
      </c>
      <c r="J271" s="1">
        <v>265.26344</v>
      </c>
      <c r="K271" s="1">
        <v>266.15796</v>
      </c>
      <c r="L271" s="7">
        <f>G271-J271</f>
        <v>-0.11275999999998021</v>
      </c>
      <c r="M271" s="1" t="s">
        <v>378</v>
      </c>
      <c r="N271" s="2">
        <v>63741279.534306899</v>
      </c>
      <c r="O271" s="1">
        <v>324541657.174034</v>
      </c>
      <c r="P271" s="1">
        <v>50517970.756689802</v>
      </c>
      <c r="Q271" s="1">
        <f>STDEV(N271:P271)</f>
        <v>154531913.41909686</v>
      </c>
      <c r="R271" s="1">
        <v>146266969.15501022</v>
      </c>
      <c r="S271" s="1">
        <v>0.17936978741754794</v>
      </c>
    </row>
    <row r="272" spans="1:19" x14ac:dyDescent="0.3">
      <c r="A272" s="1">
        <v>759</v>
      </c>
      <c r="B272" s="1" t="s">
        <v>1108</v>
      </c>
      <c r="C272" s="1" t="s">
        <v>1109</v>
      </c>
      <c r="D272" s="1">
        <v>12.196999999999999</v>
      </c>
      <c r="E272" s="1" t="s">
        <v>1110</v>
      </c>
      <c r="F272" s="1" t="s">
        <v>1111</v>
      </c>
      <c r="G272" s="1">
        <v>150.10359</v>
      </c>
      <c r="H272" s="2">
        <v>246166455.073917</v>
      </c>
      <c r="I272" s="1" t="s">
        <v>156</v>
      </c>
      <c r="J272" s="1">
        <v>150.21755999999999</v>
      </c>
      <c r="K272" s="1">
        <v>133.10033000000001</v>
      </c>
      <c r="L272" s="7">
        <f>G272-J272</f>
        <v>-0.1139699999999948</v>
      </c>
      <c r="M272" s="1" t="s">
        <v>24</v>
      </c>
      <c r="N272" s="2">
        <v>69003916.975940198</v>
      </c>
      <c r="O272" s="1">
        <v>24689711.793661799</v>
      </c>
      <c r="P272" s="1">
        <v>6858230.0926827602</v>
      </c>
      <c r="Q272" s="1">
        <f>STDEV(N272:P272)</f>
        <v>31999471.138289385</v>
      </c>
      <c r="R272" s="1">
        <v>33517286.287428256</v>
      </c>
      <c r="S272" s="1">
        <v>4.1102844688179326E-2</v>
      </c>
    </row>
    <row r="273" spans="1:19" x14ac:dyDescent="0.3">
      <c r="A273" s="1">
        <v>445</v>
      </c>
      <c r="B273" s="1" t="s">
        <v>3194</v>
      </c>
      <c r="C273" s="1" t="s">
        <v>3195</v>
      </c>
      <c r="D273" s="1">
        <v>15.851000000000001</v>
      </c>
      <c r="E273" s="1" t="s">
        <v>3196</v>
      </c>
      <c r="F273" s="1" t="s">
        <v>3197</v>
      </c>
      <c r="G273" s="1">
        <v>408.37245000000001</v>
      </c>
      <c r="H273" s="2">
        <v>109936585.16616</v>
      </c>
      <c r="I273" s="1" t="s">
        <v>23</v>
      </c>
      <c r="J273" s="1">
        <v>408.48682000000002</v>
      </c>
      <c r="K273" s="1">
        <v>409.37973</v>
      </c>
      <c r="L273" s="7">
        <f>G273-J273</f>
        <v>-0.11437000000000808</v>
      </c>
      <c r="M273" s="1" t="s">
        <v>3198</v>
      </c>
      <c r="N273" s="2">
        <v>1313457.7905490601</v>
      </c>
      <c r="O273" s="1">
        <v>1696851.69406808</v>
      </c>
      <c r="P273" s="1">
        <v>1605832.18037956</v>
      </c>
      <c r="Q273" s="1">
        <f>STDEV(N273:P273)</f>
        <v>200315.67626973157</v>
      </c>
      <c r="R273" s="1">
        <v>1538713.8883322335</v>
      </c>
      <c r="S273" s="1">
        <v>1.886952226063319E-3</v>
      </c>
    </row>
    <row r="274" spans="1:19" x14ac:dyDescent="0.3">
      <c r="A274" s="1">
        <v>749</v>
      </c>
      <c r="B274" s="1" t="s">
        <v>4358</v>
      </c>
      <c r="C274" s="1" t="s">
        <v>4359</v>
      </c>
      <c r="D274" s="1">
        <v>15.84</v>
      </c>
      <c r="E274" s="1" t="s">
        <v>4360</v>
      </c>
      <c r="F274" s="1" t="s">
        <v>4361</v>
      </c>
      <c r="G274" s="1">
        <v>154.13484</v>
      </c>
      <c r="H274" s="2">
        <v>415356.10299845098</v>
      </c>
      <c r="I274" s="1" t="s">
        <v>398</v>
      </c>
      <c r="J274" s="1">
        <v>154.24932000000001</v>
      </c>
      <c r="K274" s="1">
        <v>172.16872000000001</v>
      </c>
      <c r="L274" s="7">
        <f>G274-J274</f>
        <v>-0.11448000000001457</v>
      </c>
      <c r="M274" s="1" t="s">
        <v>24</v>
      </c>
      <c r="N274" s="2">
        <v>309773.642496327</v>
      </c>
      <c r="O274" s="1">
        <v>246387.04288017601</v>
      </c>
      <c r="P274" s="1">
        <v>254874.34420989701</v>
      </c>
      <c r="Q274" s="1">
        <f>STDEV(N274:P274)</f>
        <v>34408.885110055933</v>
      </c>
      <c r="R274" s="1">
        <v>270345.00986213336</v>
      </c>
      <c r="S274" s="1">
        <v>3.3152889697861583E-4</v>
      </c>
    </row>
    <row r="275" spans="1:19" x14ac:dyDescent="0.3">
      <c r="A275" s="1">
        <v>758</v>
      </c>
      <c r="B275" s="1" t="s">
        <v>4056</v>
      </c>
      <c r="C275" s="1" t="s">
        <v>4057</v>
      </c>
      <c r="D275" s="1">
        <v>7.8310000000000004</v>
      </c>
      <c r="E275" s="1" t="s">
        <v>4058</v>
      </c>
      <c r="F275" s="1" t="s">
        <v>4059</v>
      </c>
      <c r="G275" s="1">
        <v>152.11849000000001</v>
      </c>
      <c r="H275" s="2">
        <v>767254.94507744303</v>
      </c>
      <c r="I275" s="1" t="s">
        <v>17</v>
      </c>
      <c r="J275" s="1">
        <v>152.23344</v>
      </c>
      <c r="K275" s="1">
        <v>151.11060000000001</v>
      </c>
      <c r="L275" s="7">
        <f>G275-J275</f>
        <v>-0.11494999999999322</v>
      </c>
      <c r="M275" s="1" t="s">
        <v>24</v>
      </c>
      <c r="N275" s="2">
        <v>401746.83373689197</v>
      </c>
      <c r="O275" s="1">
        <v>546626.69674701104</v>
      </c>
      <c r="P275" s="1">
        <v>767254.94507744303</v>
      </c>
      <c r="Q275" s="1">
        <f>STDEV(N275:P275)</f>
        <v>184057.5897751039</v>
      </c>
      <c r="R275" s="1">
        <v>571876.1585204486</v>
      </c>
      <c r="S275" s="1">
        <v>7.0130191098899332E-4</v>
      </c>
    </row>
    <row r="276" spans="1:19" x14ac:dyDescent="0.3">
      <c r="A276" s="1">
        <v>512</v>
      </c>
      <c r="B276" s="1" t="s">
        <v>2941</v>
      </c>
      <c r="C276" s="1" t="s">
        <v>2942</v>
      </c>
      <c r="D276" s="1">
        <v>3.1880000000000002</v>
      </c>
      <c r="E276" s="1" t="s">
        <v>2943</v>
      </c>
      <c r="F276" s="1" t="s">
        <v>2944</v>
      </c>
      <c r="G276" s="1">
        <v>270.16482000000002</v>
      </c>
      <c r="H276" s="2">
        <v>2516609.45204132</v>
      </c>
      <c r="I276" s="1" t="s">
        <v>2945</v>
      </c>
      <c r="J276" s="1">
        <v>270.27996000000002</v>
      </c>
      <c r="K276" s="1">
        <v>309.12851000000001</v>
      </c>
      <c r="L276" s="7">
        <f>G276-J276</f>
        <v>-0.11513999999999669</v>
      </c>
      <c r="M276" s="1" t="s">
        <v>2946</v>
      </c>
      <c r="N276" s="2">
        <v>1574586.2320578799</v>
      </c>
      <c r="O276" s="1">
        <v>2166193.9309332399</v>
      </c>
      <c r="P276" s="1">
        <v>2516609.45204132</v>
      </c>
      <c r="Q276" s="1">
        <f>STDEV(N276:P276)</f>
        <v>476129.9636636356</v>
      </c>
      <c r="R276" s="1">
        <v>2085796.5383441467</v>
      </c>
      <c r="S276" s="1">
        <v>2.5578494163132222E-3</v>
      </c>
    </row>
    <row r="277" spans="1:19" x14ac:dyDescent="0.3">
      <c r="A277" s="1">
        <v>674</v>
      </c>
      <c r="B277" s="1" t="s">
        <v>1103</v>
      </c>
      <c r="C277" s="1" t="s">
        <v>1104</v>
      </c>
      <c r="D277" s="1">
        <v>11.635</v>
      </c>
      <c r="E277" s="1" t="s">
        <v>1105</v>
      </c>
      <c r="F277" s="1" t="s">
        <v>1106</v>
      </c>
      <c r="G277" s="1">
        <v>406.26911000000001</v>
      </c>
      <c r="H277" s="2">
        <v>87841453.186873093</v>
      </c>
      <c r="I277" s="1" t="s">
        <v>23</v>
      </c>
      <c r="J277" s="1">
        <v>406.38481999999999</v>
      </c>
      <c r="K277" s="1">
        <v>407.27620999999999</v>
      </c>
      <c r="L277" s="7">
        <f>G277-J277</f>
        <v>-0.11570999999997866</v>
      </c>
      <c r="M277" s="1" t="s">
        <v>1107</v>
      </c>
      <c r="N277" s="2">
        <v>87841453.186873093</v>
      </c>
      <c r="O277" s="1">
        <v>7321403.6557391398</v>
      </c>
      <c r="P277" s="1">
        <v>5463223.7981116399</v>
      </c>
      <c r="Q277" s="1">
        <f>STDEV(N277:P277)</f>
        <v>47033859.941725232</v>
      </c>
      <c r="R277" s="1">
        <v>33542026.880241293</v>
      </c>
      <c r="S277" s="1">
        <v>4.113318451745928E-2</v>
      </c>
    </row>
    <row r="278" spans="1:19" x14ac:dyDescent="0.3">
      <c r="A278" s="1">
        <v>643</v>
      </c>
      <c r="B278" s="1" t="s">
        <v>648</v>
      </c>
      <c r="C278" s="1" t="s">
        <v>649</v>
      </c>
      <c r="D278" s="1">
        <v>13.147</v>
      </c>
      <c r="E278" s="1" t="s">
        <v>650</v>
      </c>
      <c r="F278" s="1" t="s">
        <v>651</v>
      </c>
      <c r="G278" s="1">
        <v>410.30005999999997</v>
      </c>
      <c r="H278" s="2">
        <v>117926759.924238</v>
      </c>
      <c r="I278" s="1" t="s">
        <v>23</v>
      </c>
      <c r="J278" s="1">
        <v>410.41658000000001</v>
      </c>
      <c r="K278" s="1">
        <v>411.30743000000001</v>
      </c>
      <c r="L278" s="7">
        <f>G278-J278</f>
        <v>-0.11652000000003682</v>
      </c>
      <c r="M278" s="1" t="s">
        <v>652</v>
      </c>
      <c r="N278" s="2">
        <v>117926759.924238</v>
      </c>
      <c r="O278" s="1">
        <v>55816281.273672096</v>
      </c>
      <c r="P278" s="1">
        <v>53375679.714750297</v>
      </c>
      <c r="Q278" s="1">
        <f>STDEV(N278:P278)</f>
        <v>36584400.251071319</v>
      </c>
      <c r="R278" s="1">
        <v>75706240.304220125</v>
      </c>
      <c r="S278" s="1">
        <v>9.2839909844297311E-2</v>
      </c>
    </row>
    <row r="279" spans="1:19" x14ac:dyDescent="0.3">
      <c r="A279" s="1">
        <v>694</v>
      </c>
      <c r="B279" s="1" t="s">
        <v>2126</v>
      </c>
      <c r="C279" s="1" t="s">
        <v>2127</v>
      </c>
      <c r="D279" s="1">
        <v>12.343999999999999</v>
      </c>
      <c r="E279" s="1" t="s">
        <v>2128</v>
      </c>
      <c r="F279" s="1" t="s">
        <v>2129</v>
      </c>
      <c r="G279" s="1">
        <v>954.54391999999996</v>
      </c>
      <c r="H279" s="2">
        <v>12173446.633203801</v>
      </c>
      <c r="I279" s="1" t="s">
        <v>290</v>
      </c>
      <c r="J279" s="1">
        <v>954.66070000000002</v>
      </c>
      <c r="K279" s="1">
        <v>478.27924000000002</v>
      </c>
      <c r="L279" s="7">
        <f>G279-J279</f>
        <v>-0.1167800000000625</v>
      </c>
      <c r="M279" s="1" t="s">
        <v>24</v>
      </c>
      <c r="N279" s="2">
        <v>12173446.633203801</v>
      </c>
      <c r="O279" s="1">
        <v>3243865.3771220399</v>
      </c>
      <c r="P279" s="1">
        <v>3335229.1118335198</v>
      </c>
      <c r="Q279" s="1">
        <f>STDEV(N279:P279)</f>
        <v>5129325.1293590236</v>
      </c>
      <c r="R279" s="1">
        <v>6250847.0407197876</v>
      </c>
      <c r="S279" s="1">
        <v>7.6655249736205461E-3</v>
      </c>
    </row>
    <row r="280" spans="1:19" x14ac:dyDescent="0.3">
      <c r="A280" s="1">
        <v>516</v>
      </c>
      <c r="B280" s="1" t="s">
        <v>2780</v>
      </c>
      <c r="C280" s="1" t="s">
        <v>2781</v>
      </c>
      <c r="D280" s="1">
        <v>0.96499999999999997</v>
      </c>
      <c r="E280" s="1" t="s">
        <v>2782</v>
      </c>
      <c r="F280" s="1" t="s">
        <v>2783</v>
      </c>
      <c r="G280" s="1">
        <v>270.11995000000002</v>
      </c>
      <c r="H280" s="2">
        <v>5053905.1394387102</v>
      </c>
      <c r="I280" s="1" t="s">
        <v>23</v>
      </c>
      <c r="J280" s="1">
        <v>270.23689999999999</v>
      </c>
      <c r="K280" s="1">
        <v>271.12700999999998</v>
      </c>
      <c r="L280" s="7">
        <f>G280-J280</f>
        <v>-0.11694999999997435</v>
      </c>
      <c r="M280" s="1" t="s">
        <v>2784</v>
      </c>
      <c r="N280" s="2">
        <v>5053905.1394387102</v>
      </c>
      <c r="O280" s="1">
        <v>1337725.7741752199</v>
      </c>
      <c r="P280" s="1">
        <v>1121626.9418758799</v>
      </c>
      <c r="Q280" s="1">
        <f>STDEV(N280:P280)</f>
        <v>2210561.7537615215</v>
      </c>
      <c r="R280" s="1">
        <v>2504419.2851632698</v>
      </c>
      <c r="S280" s="1">
        <v>3.0712139410509938E-3</v>
      </c>
    </row>
    <row r="281" spans="1:19" x14ac:dyDescent="0.3">
      <c r="A281" s="1">
        <v>651</v>
      </c>
      <c r="B281" s="1" t="s">
        <v>3011</v>
      </c>
      <c r="C281" s="1" t="s">
        <v>3012</v>
      </c>
      <c r="D281" s="1">
        <v>8.9280000000000008</v>
      </c>
      <c r="E281" s="1" t="s">
        <v>3013</v>
      </c>
      <c r="F281" s="1" t="s">
        <v>3014</v>
      </c>
      <c r="G281" s="1">
        <v>354.23594000000003</v>
      </c>
      <c r="H281" s="2">
        <v>22183672.724045299</v>
      </c>
      <c r="I281" s="1" t="s">
        <v>23</v>
      </c>
      <c r="J281" s="1">
        <v>354.35332</v>
      </c>
      <c r="K281" s="1">
        <v>355.24322000000001</v>
      </c>
      <c r="L281" s="7">
        <f>G281-J281</f>
        <v>-0.11737999999996873</v>
      </c>
      <c r="M281" s="1" t="s">
        <v>3015</v>
      </c>
      <c r="N281" s="2">
        <v>1489430.32789016</v>
      </c>
      <c r="O281" s="1">
        <v>1957314.58188425</v>
      </c>
      <c r="P281" s="1">
        <v>2266120.61295358</v>
      </c>
      <c r="Q281" s="1">
        <f>STDEV(N281:P281)</f>
        <v>391050.85749219608</v>
      </c>
      <c r="R281" s="1">
        <v>1904288.5075759969</v>
      </c>
      <c r="S281" s="1">
        <v>2.3352628878471984E-3</v>
      </c>
    </row>
    <row r="282" spans="1:19" x14ac:dyDescent="0.3">
      <c r="A282" s="1">
        <v>177</v>
      </c>
      <c r="B282" s="1" t="s">
        <v>643</v>
      </c>
      <c r="C282" s="1" t="s">
        <v>644</v>
      </c>
      <c r="D282" s="1">
        <v>11.359</v>
      </c>
      <c r="E282" s="1" t="s">
        <v>645</v>
      </c>
      <c r="F282" s="1" t="s">
        <v>646</v>
      </c>
      <c r="G282" s="1">
        <v>321.2516</v>
      </c>
      <c r="H282" s="2">
        <v>122151992.16936199</v>
      </c>
      <c r="I282" s="1" t="s">
        <v>23</v>
      </c>
      <c r="J282" s="1">
        <v>321.36975999999999</v>
      </c>
      <c r="K282" s="1">
        <v>322.25887999999998</v>
      </c>
      <c r="L282" s="7">
        <f>G282-J282</f>
        <v>-0.11815999999998894</v>
      </c>
      <c r="M282" s="1" t="s">
        <v>647</v>
      </c>
      <c r="N282" s="2">
        <v>122151992.16936199</v>
      </c>
      <c r="O282" s="1">
        <v>85059235.010627598</v>
      </c>
      <c r="P282" s="1">
        <v>28512392.849406999</v>
      </c>
      <c r="Q282" s="1">
        <f>STDEV(N282:P282)</f>
        <v>47155403.636707</v>
      </c>
      <c r="R282" s="1">
        <v>78574540.009798855</v>
      </c>
      <c r="S282" s="1">
        <v>9.635735682095703E-2</v>
      </c>
    </row>
    <row r="283" spans="1:19" x14ac:dyDescent="0.3">
      <c r="A283" s="1">
        <v>739</v>
      </c>
      <c r="B283" s="1" t="s">
        <v>1777</v>
      </c>
      <c r="C283" s="1" t="s">
        <v>1778</v>
      </c>
      <c r="D283" s="1">
        <v>0.37</v>
      </c>
      <c r="E283" s="1" t="s">
        <v>1779</v>
      </c>
      <c r="F283" s="1" t="s">
        <v>1780</v>
      </c>
      <c r="G283" s="1">
        <v>166.09841</v>
      </c>
      <c r="H283" s="2">
        <v>16872392.549575798</v>
      </c>
      <c r="I283" s="1" t="s">
        <v>23</v>
      </c>
      <c r="J283" s="1">
        <v>166.21696</v>
      </c>
      <c r="K283" s="1">
        <v>167.10576</v>
      </c>
      <c r="L283" s="7">
        <f>G283-J283</f>
        <v>-0.11854999999999905</v>
      </c>
      <c r="M283" s="1" t="s">
        <v>24</v>
      </c>
      <c r="N283" s="2">
        <v>7709235.6743874904</v>
      </c>
      <c r="O283" s="1">
        <v>5096139.8801888898</v>
      </c>
      <c r="P283" s="1">
        <v>16872392.549575798</v>
      </c>
      <c r="Q283" s="1">
        <f>STDEV(N283:P283)</f>
        <v>6184278.9997731522</v>
      </c>
      <c r="R283" s="1">
        <v>9892589.3680507261</v>
      </c>
      <c r="S283" s="1">
        <v>1.2131458402449386E-2</v>
      </c>
    </row>
    <row r="284" spans="1:19" x14ac:dyDescent="0.3">
      <c r="A284" s="1">
        <v>15</v>
      </c>
      <c r="B284" s="1" t="s">
        <v>3971</v>
      </c>
      <c r="C284" s="1" t="s">
        <v>3972</v>
      </c>
      <c r="D284" s="1">
        <v>19.533000000000001</v>
      </c>
      <c r="E284" s="1" t="s">
        <v>3973</v>
      </c>
      <c r="F284" s="1" t="s">
        <v>3974</v>
      </c>
      <c r="G284" s="1">
        <v>358.24826999999999</v>
      </c>
      <c r="H284" s="2">
        <v>698857.37482059898</v>
      </c>
      <c r="I284" s="1" t="s">
        <v>344</v>
      </c>
      <c r="J284" s="1">
        <v>358.36691999999999</v>
      </c>
      <c r="K284" s="1">
        <v>391.28206999999998</v>
      </c>
      <c r="L284" s="7">
        <f>G284-J284</f>
        <v>-0.11865000000000236</v>
      </c>
      <c r="M284" s="1" t="s">
        <v>24</v>
      </c>
      <c r="N284" s="2">
        <v>603392.20295554504</v>
      </c>
      <c r="O284" s="1">
        <v>698857.37482059898</v>
      </c>
      <c r="P284" s="1">
        <v>565494.70578113396</v>
      </c>
      <c r="Q284" s="1">
        <f>STDEV(N284:P284)</f>
        <v>68720.958502044901</v>
      </c>
      <c r="R284" s="1">
        <v>622581.42785242607</v>
      </c>
      <c r="S284" s="1">
        <v>7.6348268518270528E-4</v>
      </c>
    </row>
    <row r="285" spans="1:19" x14ac:dyDescent="0.3">
      <c r="A285" s="1">
        <v>740</v>
      </c>
      <c r="B285" s="1" t="s">
        <v>452</v>
      </c>
      <c r="C285" s="1" t="s">
        <v>453</v>
      </c>
      <c r="D285" s="1">
        <v>0.318</v>
      </c>
      <c r="E285" s="1" t="s">
        <v>454</v>
      </c>
      <c r="F285" s="1" t="s">
        <v>455</v>
      </c>
      <c r="G285" s="1">
        <v>168.11368999999999</v>
      </c>
      <c r="H285" s="2">
        <v>250169731.287927</v>
      </c>
      <c r="I285" s="1" t="s">
        <v>456</v>
      </c>
      <c r="J285" s="1">
        <v>168.23284000000001</v>
      </c>
      <c r="K285" s="1">
        <v>359.21658000000002</v>
      </c>
      <c r="L285" s="7">
        <f>G285-J285</f>
        <v>-0.11915000000001896</v>
      </c>
      <c r="M285" s="1" t="s">
        <v>24</v>
      </c>
      <c r="N285" s="2">
        <v>22080355.2571119</v>
      </c>
      <c r="O285" s="1">
        <v>75005366.107491896</v>
      </c>
      <c r="P285" s="1">
        <v>250169731.287927</v>
      </c>
      <c r="Q285" s="1">
        <f>STDEV(N285:P285)</f>
        <v>119379210.26481414</v>
      </c>
      <c r="R285" s="1">
        <v>115751817.5508436</v>
      </c>
      <c r="S285" s="1">
        <v>0.14194851392104899</v>
      </c>
    </row>
    <row r="286" spans="1:19" x14ac:dyDescent="0.3">
      <c r="A286" s="1">
        <v>414</v>
      </c>
      <c r="B286" s="1" t="s">
        <v>2303</v>
      </c>
      <c r="C286" s="1" t="s">
        <v>2304</v>
      </c>
      <c r="D286" s="1">
        <v>11.391999999999999</v>
      </c>
      <c r="E286" s="1" t="s">
        <v>2305</v>
      </c>
      <c r="F286" s="1" t="s">
        <v>2306</v>
      </c>
      <c r="G286" s="1">
        <v>223.19191000000001</v>
      </c>
      <c r="H286" s="2">
        <v>266901255.980744</v>
      </c>
      <c r="I286" s="1" t="s">
        <v>23</v>
      </c>
      <c r="J286" s="1">
        <v>223.31134</v>
      </c>
      <c r="K286" s="1">
        <v>224.19918999999999</v>
      </c>
      <c r="L286" s="7">
        <f>G286-J286</f>
        <v>-0.11942999999999415</v>
      </c>
      <c r="M286" s="1" t="s">
        <v>24</v>
      </c>
      <c r="N286" s="2">
        <v>12384390.440016599</v>
      </c>
      <c r="O286" s="1">
        <v>1231588.1064098501</v>
      </c>
      <c r="P286" s="1">
        <v>880403.65781565895</v>
      </c>
      <c r="Q286" s="1">
        <f>STDEV(N286:P286)</f>
        <v>6542808.2947932538</v>
      </c>
      <c r="R286" s="1">
        <v>4832127.4014140358</v>
      </c>
      <c r="S286" s="1">
        <v>5.9257238307002602E-3</v>
      </c>
    </row>
    <row r="287" spans="1:19" x14ac:dyDescent="0.3">
      <c r="A287" s="1">
        <v>328</v>
      </c>
      <c r="B287" s="1" t="s">
        <v>2508</v>
      </c>
      <c r="C287" s="1" t="s">
        <v>2509</v>
      </c>
      <c r="D287" s="1">
        <v>11.613</v>
      </c>
      <c r="E287" s="1" t="s">
        <v>2510</v>
      </c>
      <c r="F287" s="1" t="s">
        <v>2511</v>
      </c>
      <c r="G287" s="1">
        <v>262.2276</v>
      </c>
      <c r="H287" s="2">
        <v>7701756.6105744299</v>
      </c>
      <c r="I287" s="1" t="s">
        <v>23</v>
      </c>
      <c r="J287" s="1">
        <v>262.34737999999999</v>
      </c>
      <c r="K287" s="1">
        <v>263.23498999999998</v>
      </c>
      <c r="L287" s="7">
        <f>G287-J287</f>
        <v>-0.11977999999999156</v>
      </c>
      <c r="M287" s="1" t="s">
        <v>24</v>
      </c>
      <c r="N287" s="2">
        <v>7473820.63903361</v>
      </c>
      <c r="O287" s="1">
        <v>1810397.9844816001</v>
      </c>
      <c r="P287" s="1">
        <v>1226818.5054124501</v>
      </c>
      <c r="Q287" s="1">
        <f>STDEV(N287:P287)</f>
        <v>3450602.7693228433</v>
      </c>
      <c r="R287" s="1">
        <v>3503679.0429758872</v>
      </c>
      <c r="S287" s="1">
        <v>4.2966239660841132E-3</v>
      </c>
    </row>
    <row r="288" spans="1:19" x14ac:dyDescent="0.3">
      <c r="A288" s="1">
        <v>1005</v>
      </c>
      <c r="B288" s="1" t="s">
        <v>1958</v>
      </c>
      <c r="C288" s="1" t="s">
        <v>1959</v>
      </c>
      <c r="D288" s="1">
        <v>11.971</v>
      </c>
      <c r="E288" s="1"/>
      <c r="F288" s="1" t="s">
        <v>1960</v>
      </c>
      <c r="G288" s="1">
        <v>224.17601999999999</v>
      </c>
      <c r="H288" s="2">
        <v>13842445.455933001</v>
      </c>
      <c r="I288" s="1" t="s">
        <v>23</v>
      </c>
      <c r="J288" s="1">
        <v>224.2961</v>
      </c>
      <c r="K288" s="1">
        <v>225.1833</v>
      </c>
      <c r="L288" s="7">
        <f>G288-J288</f>
        <v>-0.12008000000000152</v>
      </c>
      <c r="M288" s="1" t="s">
        <v>1961</v>
      </c>
      <c r="N288" s="2">
        <v>1304045.7522623399</v>
      </c>
      <c r="O288" s="1">
        <v>7727915.8792230096</v>
      </c>
      <c r="P288" s="1">
        <v>13842445.455933001</v>
      </c>
      <c r="Q288" s="1">
        <f>STDEV(N288:P288)</f>
        <v>6269835.8096727366</v>
      </c>
      <c r="R288" s="1">
        <v>7624802.3624727838</v>
      </c>
      <c r="S288" s="1">
        <v>9.3504308372462965E-3</v>
      </c>
    </row>
    <row r="289" spans="1:19" x14ac:dyDescent="0.3">
      <c r="A289" s="1">
        <v>45</v>
      </c>
      <c r="B289" s="1" t="s">
        <v>3659</v>
      </c>
      <c r="C289" s="1" t="s">
        <v>3660</v>
      </c>
      <c r="D289" s="1">
        <v>0.13300000000000001</v>
      </c>
      <c r="E289" s="1" t="s">
        <v>3661</v>
      </c>
      <c r="F289" s="1" t="s">
        <v>3662</v>
      </c>
      <c r="G289" s="1">
        <v>264.24333000000001</v>
      </c>
      <c r="H289" s="2">
        <v>12000200.7604603</v>
      </c>
      <c r="I289" s="1" t="s">
        <v>23</v>
      </c>
      <c r="J289" s="1">
        <v>264.3648</v>
      </c>
      <c r="K289" s="1">
        <v>265.25060999999999</v>
      </c>
      <c r="L289" s="7">
        <f>G289-J289</f>
        <v>-0.12146999999998798</v>
      </c>
      <c r="M289" s="1" t="s">
        <v>24</v>
      </c>
      <c r="N289" s="2">
        <v>470275.02974938898</v>
      </c>
      <c r="O289" s="1">
        <v>1060145.10505423</v>
      </c>
      <c r="P289" s="1">
        <v>1111691.6456353001</v>
      </c>
      <c r="Q289" s="1">
        <f>STDEV(N289:P289)</f>
        <v>356375.04278511362</v>
      </c>
      <c r="R289" s="1">
        <v>880703.92681297299</v>
      </c>
      <c r="S289" s="1">
        <v>1.0800228995162134E-3</v>
      </c>
    </row>
    <row r="290" spans="1:19" x14ac:dyDescent="0.3">
      <c r="A290" s="1">
        <v>12</v>
      </c>
      <c r="B290" s="1" t="s">
        <v>1517</v>
      </c>
      <c r="C290" s="1" t="s">
        <v>1518</v>
      </c>
      <c r="D290" s="1">
        <v>12.661</v>
      </c>
      <c r="E290" s="1" t="s">
        <v>1519</v>
      </c>
      <c r="F290" s="1" t="s">
        <v>1520</v>
      </c>
      <c r="G290" s="1">
        <v>870.59658999999999</v>
      </c>
      <c r="H290" s="2">
        <v>34261887.327591702</v>
      </c>
      <c r="I290" s="1" t="s">
        <v>290</v>
      </c>
      <c r="J290" s="1">
        <v>870.71828000000005</v>
      </c>
      <c r="K290" s="1">
        <v>436.30556999999999</v>
      </c>
      <c r="L290" s="7">
        <f>G290-J290</f>
        <v>-0.12169000000005781</v>
      </c>
      <c r="M290" s="1" t="s">
        <v>1521</v>
      </c>
      <c r="N290" s="2">
        <v>4480276.87981568</v>
      </c>
      <c r="O290" s="1">
        <v>5419440.5669976203</v>
      </c>
      <c r="P290" s="1">
        <v>34261887.327591702</v>
      </c>
      <c r="Q290" s="1">
        <f>STDEV(N290:P290)</f>
        <v>16929821.245522685</v>
      </c>
      <c r="R290" s="1">
        <v>14720534.924801668</v>
      </c>
      <c r="S290" s="1">
        <v>1.805205396261416E-2</v>
      </c>
    </row>
    <row r="291" spans="1:19" x14ac:dyDescent="0.3">
      <c r="A291" s="1">
        <v>76</v>
      </c>
      <c r="B291" s="1" t="s">
        <v>3814</v>
      </c>
      <c r="C291" s="1" t="s">
        <v>3815</v>
      </c>
      <c r="D291" s="1">
        <v>0.98499999999999999</v>
      </c>
      <c r="E291" s="1" t="s">
        <v>3816</v>
      </c>
      <c r="F291" s="1" t="s">
        <v>3817</v>
      </c>
      <c r="G291" s="1">
        <v>232.15779000000001</v>
      </c>
      <c r="H291" s="2">
        <v>15474428.9749905</v>
      </c>
      <c r="I291" s="1" t="s">
        <v>23</v>
      </c>
      <c r="J291" s="1">
        <v>232.27987999999999</v>
      </c>
      <c r="K291" s="1">
        <v>233.16506999999999</v>
      </c>
      <c r="L291" s="7">
        <f>G291-J291</f>
        <v>-0.12208999999998582</v>
      </c>
      <c r="M291" s="1" t="s">
        <v>24</v>
      </c>
      <c r="N291" s="2">
        <v>653233.94803830201</v>
      </c>
      <c r="O291" s="1">
        <v>761332.776913743</v>
      </c>
      <c r="P291" s="1">
        <v>831685.95090715098</v>
      </c>
      <c r="Q291" s="1">
        <f>STDEV(N291:P291)</f>
        <v>89888.860287850548</v>
      </c>
      <c r="R291" s="1">
        <v>748750.89195306541</v>
      </c>
      <c r="S291" s="1">
        <v>9.1820654447272621E-4</v>
      </c>
    </row>
    <row r="292" spans="1:19" x14ac:dyDescent="0.3">
      <c r="A292" s="1">
        <v>699</v>
      </c>
      <c r="B292" s="1" t="s">
        <v>2744</v>
      </c>
      <c r="C292" s="1" t="s">
        <v>2745</v>
      </c>
      <c r="D292" s="1">
        <v>9.5670000000000002</v>
      </c>
      <c r="E292" s="1" t="s">
        <v>2746</v>
      </c>
      <c r="F292" s="1" t="s">
        <v>2747</v>
      </c>
      <c r="G292" s="1">
        <v>938.53849000000002</v>
      </c>
      <c r="H292" s="2">
        <v>3846523.99757066</v>
      </c>
      <c r="I292" s="1" t="s">
        <v>290</v>
      </c>
      <c r="J292" s="1">
        <v>938.66129999999998</v>
      </c>
      <c r="K292" s="1">
        <v>470.27652</v>
      </c>
      <c r="L292" s="7">
        <f>G292-J292</f>
        <v>-0.12280999999995856</v>
      </c>
      <c r="M292" s="1" t="s">
        <v>24</v>
      </c>
      <c r="N292" s="2">
        <v>1560084.5035595701</v>
      </c>
      <c r="O292" s="1">
        <v>2386823.0608016802</v>
      </c>
      <c r="P292" s="1">
        <v>3846523.99757066</v>
      </c>
      <c r="Q292" s="1">
        <f>STDEV(N292:P292)</f>
        <v>1157729.748733032</v>
      </c>
      <c r="R292" s="1">
        <v>2597810.52064397</v>
      </c>
      <c r="S292" s="1">
        <v>3.1857412752236357E-3</v>
      </c>
    </row>
    <row r="293" spans="1:19" x14ac:dyDescent="0.3">
      <c r="A293" s="1">
        <v>498</v>
      </c>
      <c r="B293" s="1" t="s">
        <v>1195</v>
      </c>
      <c r="C293" s="1" t="s">
        <v>1196</v>
      </c>
      <c r="D293" s="1">
        <v>6.9409999999999998</v>
      </c>
      <c r="E293" s="1" t="s">
        <v>1197</v>
      </c>
      <c r="F293" s="1" t="s">
        <v>1198</v>
      </c>
      <c r="G293" s="1">
        <v>244.11953</v>
      </c>
      <c r="H293" s="2">
        <v>32207132.166040599</v>
      </c>
      <c r="I293" s="1" t="s">
        <v>23</v>
      </c>
      <c r="J293" s="1">
        <v>244.24268000000001</v>
      </c>
      <c r="K293" s="1">
        <v>245.12681000000001</v>
      </c>
      <c r="L293" s="7">
        <f>G293-J293</f>
        <v>-0.12315000000000964</v>
      </c>
      <c r="M293" s="1" t="s">
        <v>1199</v>
      </c>
      <c r="N293" s="2">
        <v>26658265.640740301</v>
      </c>
      <c r="O293" s="1">
        <v>32207132.166040599</v>
      </c>
      <c r="P293" s="1">
        <v>30345054.333729599</v>
      </c>
      <c r="Q293" s="1">
        <f>STDEV(N293:P293)</f>
        <v>2823994.3471359843</v>
      </c>
      <c r="R293" s="1">
        <v>29736817.380170166</v>
      </c>
      <c r="S293" s="1">
        <v>3.6466788385440894E-2</v>
      </c>
    </row>
    <row r="294" spans="1:19" x14ac:dyDescent="0.3">
      <c r="A294" s="1">
        <v>500</v>
      </c>
      <c r="B294" s="1" t="s">
        <v>3597</v>
      </c>
      <c r="C294" s="1" t="s">
        <v>3598</v>
      </c>
      <c r="D294" s="1">
        <v>1.67</v>
      </c>
      <c r="E294" s="1" t="s">
        <v>3599</v>
      </c>
      <c r="F294" s="1" t="s">
        <v>3600</v>
      </c>
      <c r="G294" s="1">
        <v>218.12506999999999</v>
      </c>
      <c r="H294" s="2">
        <v>3688537.9120170102</v>
      </c>
      <c r="I294" s="1" t="s">
        <v>23</v>
      </c>
      <c r="J294" s="1">
        <v>218.24845999999999</v>
      </c>
      <c r="K294" s="1">
        <v>219.13235</v>
      </c>
      <c r="L294" s="7">
        <f>G294-J294</f>
        <v>-0.12339000000000055</v>
      </c>
      <c r="M294" s="1" t="s">
        <v>3601</v>
      </c>
      <c r="N294" s="2">
        <v>862067.54736323596</v>
      </c>
      <c r="O294" s="1">
        <v>912604.80520336097</v>
      </c>
      <c r="P294" s="1">
        <v>994535.96591612697</v>
      </c>
      <c r="Q294" s="1">
        <f>STDEV(N294:P294)</f>
        <v>66851.341845974792</v>
      </c>
      <c r="R294" s="1">
        <v>923069.43949424138</v>
      </c>
      <c r="S294" s="1">
        <v>1.1319764817048291E-3</v>
      </c>
    </row>
    <row r="295" spans="1:19" x14ac:dyDescent="0.3">
      <c r="A295" s="1">
        <v>617</v>
      </c>
      <c r="B295" s="1" t="s">
        <v>2604</v>
      </c>
      <c r="C295" s="1" t="s">
        <v>2605</v>
      </c>
      <c r="D295" s="1">
        <v>0.93100000000000005</v>
      </c>
      <c r="E295" s="1" t="s">
        <v>2606</v>
      </c>
      <c r="F295" s="1" t="s">
        <v>2607</v>
      </c>
      <c r="G295" s="1">
        <v>254.11372</v>
      </c>
      <c r="H295" s="2">
        <v>3315812.7901042402</v>
      </c>
      <c r="I295" s="1" t="s">
        <v>398</v>
      </c>
      <c r="J295" s="1">
        <v>254.23750000000001</v>
      </c>
      <c r="K295" s="1">
        <v>272.14719000000002</v>
      </c>
      <c r="L295" s="7">
        <f>G295-J295</f>
        <v>-0.12378000000001066</v>
      </c>
      <c r="M295" s="1" t="s">
        <v>2608</v>
      </c>
      <c r="N295" s="2">
        <v>2563218.3080458599</v>
      </c>
      <c r="O295" s="1">
        <v>3315812.7901042402</v>
      </c>
      <c r="P295" s="1">
        <v>2896091.96645161</v>
      </c>
      <c r="Q295" s="1">
        <f>STDEV(N295:P295)</f>
        <v>377131.47501739871</v>
      </c>
      <c r="R295" s="1">
        <v>2925041.0215339032</v>
      </c>
      <c r="S295" s="1">
        <v>3.5870298622522031E-3</v>
      </c>
    </row>
    <row r="296" spans="1:19" x14ac:dyDescent="0.3">
      <c r="A296" s="1">
        <v>13</v>
      </c>
      <c r="B296" s="1" t="s">
        <v>389</v>
      </c>
      <c r="C296" s="1" t="s">
        <v>390</v>
      </c>
      <c r="D296" s="1">
        <v>15.351000000000001</v>
      </c>
      <c r="E296" s="1" t="s">
        <v>391</v>
      </c>
      <c r="F296" s="1" t="s">
        <v>392</v>
      </c>
      <c r="G296" s="1">
        <v>550.34403999999995</v>
      </c>
      <c r="H296" s="2">
        <v>730369037.99923396</v>
      </c>
      <c r="I296" s="1" t="s">
        <v>23</v>
      </c>
      <c r="J296" s="1">
        <v>550.46884</v>
      </c>
      <c r="K296" s="1">
        <v>551.35131999999999</v>
      </c>
      <c r="L296" s="7">
        <f>G296-J296</f>
        <v>-0.1248000000000502</v>
      </c>
      <c r="M296" s="1" t="s">
        <v>393</v>
      </c>
      <c r="N296" s="2">
        <v>126916960.94573601</v>
      </c>
      <c r="O296" s="1">
        <v>120774043.27150699</v>
      </c>
      <c r="P296" s="1">
        <v>187202809.204795</v>
      </c>
      <c r="Q296" s="1">
        <f>STDEV(N296:P296)</f>
        <v>36708082.400851451</v>
      </c>
      <c r="R296" s="1">
        <v>144964604.47401267</v>
      </c>
      <c r="S296" s="1">
        <v>0.17777267443079367</v>
      </c>
    </row>
    <row r="297" spans="1:19" x14ac:dyDescent="0.3">
      <c r="A297" s="1">
        <v>8</v>
      </c>
      <c r="B297" s="1" t="s">
        <v>45</v>
      </c>
      <c r="C297" s="1" t="s">
        <v>46</v>
      </c>
      <c r="D297" s="1">
        <v>14.292999999999999</v>
      </c>
      <c r="E297" s="1" t="s">
        <v>47</v>
      </c>
      <c r="F297" s="1" t="s">
        <v>48</v>
      </c>
      <c r="G297" s="1">
        <v>550.34400000000005</v>
      </c>
      <c r="H297" s="2">
        <v>4055079334.92275</v>
      </c>
      <c r="I297" s="1" t="s">
        <v>23</v>
      </c>
      <c r="J297" s="1">
        <v>550.46884</v>
      </c>
      <c r="K297" s="1">
        <v>551.35127</v>
      </c>
      <c r="L297" s="7">
        <f>G297-J297</f>
        <v>-0.12483999999994921</v>
      </c>
      <c r="M297" s="1" t="s">
        <v>49</v>
      </c>
      <c r="N297" s="2">
        <v>4055079334.92275</v>
      </c>
      <c r="O297" s="1">
        <v>26639173.2427908</v>
      </c>
      <c r="P297" s="1">
        <v>2986129253.6157999</v>
      </c>
      <c r="Q297" s="1">
        <f>STDEV(N297:P297)</f>
        <v>2086846342.7058396</v>
      </c>
      <c r="R297" s="1">
        <v>2355949253.9271135</v>
      </c>
      <c r="S297" s="1">
        <v>2.8891424993949961</v>
      </c>
    </row>
    <row r="298" spans="1:19" x14ac:dyDescent="0.3">
      <c r="A298" s="1">
        <v>4</v>
      </c>
      <c r="B298" s="1" t="s">
        <v>115</v>
      </c>
      <c r="C298" s="1" t="s">
        <v>116</v>
      </c>
      <c r="D298" s="1">
        <v>13.592000000000001</v>
      </c>
      <c r="E298" s="1" t="s">
        <v>117</v>
      </c>
      <c r="F298" s="1" t="s">
        <v>118</v>
      </c>
      <c r="G298" s="1">
        <v>550.34380999999996</v>
      </c>
      <c r="H298" s="2">
        <v>6216850250.5593204</v>
      </c>
      <c r="I298" s="1" t="s">
        <v>23</v>
      </c>
      <c r="J298" s="1">
        <v>550.46884</v>
      </c>
      <c r="K298" s="1">
        <v>551.35108000000002</v>
      </c>
      <c r="L298" s="7">
        <f>G298-J298</f>
        <v>-0.12503000000003794</v>
      </c>
      <c r="M298" s="1" t="s">
        <v>119</v>
      </c>
      <c r="N298" s="2">
        <v>236996140.71720201</v>
      </c>
      <c r="O298" s="1">
        <v>991456696.07898903</v>
      </c>
      <c r="P298" s="1">
        <v>581597883.024387</v>
      </c>
      <c r="Q298" s="1">
        <f>STDEV(N298:P298)</f>
        <v>377700352.35984147</v>
      </c>
      <c r="R298" s="1">
        <v>603350239.9401927</v>
      </c>
      <c r="S298" s="1">
        <v>0.73989913718460243</v>
      </c>
    </row>
    <row r="299" spans="1:19" x14ac:dyDescent="0.3">
      <c r="A299" s="1">
        <v>428</v>
      </c>
      <c r="B299" s="1" t="s">
        <v>3671</v>
      </c>
      <c r="C299" s="1" t="s">
        <v>3672</v>
      </c>
      <c r="D299" s="1">
        <v>16.132000000000001</v>
      </c>
      <c r="E299" s="1" t="s">
        <v>3673</v>
      </c>
      <c r="F299" s="1" t="s">
        <v>3674</v>
      </c>
      <c r="G299" s="1">
        <v>415.35430000000002</v>
      </c>
      <c r="H299" s="2">
        <v>3056677.67732294</v>
      </c>
      <c r="I299" s="1" t="s">
        <v>23</v>
      </c>
      <c r="J299" s="1">
        <v>415.47946000000002</v>
      </c>
      <c r="K299" s="1">
        <v>416.36156999999997</v>
      </c>
      <c r="L299" s="7">
        <f>G299-J299</f>
        <v>-0.12515999999999394</v>
      </c>
      <c r="M299" s="1" t="s">
        <v>3675</v>
      </c>
      <c r="N299" s="2">
        <v>758756.60573814099</v>
      </c>
      <c r="O299" s="1">
        <v>967254.83022139897</v>
      </c>
      <c r="P299" s="1">
        <v>893204.86418494198</v>
      </c>
      <c r="Q299" s="1">
        <f>STDEV(N299:P299)</f>
        <v>105697.08390967184</v>
      </c>
      <c r="R299" s="1">
        <v>873072.10004816065</v>
      </c>
      <c r="S299" s="1">
        <v>1.0706638545293634E-3</v>
      </c>
    </row>
    <row r="300" spans="1:19" x14ac:dyDescent="0.3">
      <c r="A300" s="1">
        <v>515</v>
      </c>
      <c r="B300" s="1" t="s">
        <v>1679</v>
      </c>
      <c r="C300" s="1" t="s">
        <v>1680</v>
      </c>
      <c r="D300" s="1">
        <v>12.901999999999999</v>
      </c>
      <c r="E300" s="1" t="s">
        <v>1681</v>
      </c>
      <c r="F300" s="1" t="s">
        <v>1682</v>
      </c>
      <c r="G300" s="1">
        <v>538.33275000000003</v>
      </c>
      <c r="H300" s="2">
        <v>14413001.328389799</v>
      </c>
      <c r="I300" s="1" t="s">
        <v>17</v>
      </c>
      <c r="J300" s="1">
        <v>538.45791999999994</v>
      </c>
      <c r="K300" s="1">
        <v>537.32547</v>
      </c>
      <c r="L300" s="7">
        <f>G300-J300</f>
        <v>-0.12516999999991185</v>
      </c>
      <c r="M300" s="1" t="s">
        <v>1683</v>
      </c>
      <c r="N300" s="2">
        <v>14413001.328389799</v>
      </c>
      <c r="O300" s="1">
        <v>14228728.184495499</v>
      </c>
      <c r="P300" s="1">
        <v>4991233.3487040503</v>
      </c>
      <c r="Q300" s="1">
        <f>STDEV(N300:P300)</f>
        <v>5387253.1543738507</v>
      </c>
      <c r="R300" s="1">
        <v>11210987.620529784</v>
      </c>
      <c r="S300" s="1">
        <v>1.3748233643264135E-2</v>
      </c>
    </row>
    <row r="301" spans="1:19" x14ac:dyDescent="0.3">
      <c r="A301" s="1">
        <v>19</v>
      </c>
      <c r="B301" s="1" t="s">
        <v>1585</v>
      </c>
      <c r="C301" s="1" t="s">
        <v>1586</v>
      </c>
      <c r="D301" s="1">
        <v>20.131</v>
      </c>
      <c r="E301" s="1" t="s">
        <v>1587</v>
      </c>
      <c r="F301" s="1" t="s">
        <v>1588</v>
      </c>
      <c r="G301" s="1">
        <v>351.14281</v>
      </c>
      <c r="H301" s="2">
        <v>433215677.60796201</v>
      </c>
      <c r="I301" s="1" t="s">
        <v>23</v>
      </c>
      <c r="J301" s="1">
        <v>351.26832000000002</v>
      </c>
      <c r="K301" s="1">
        <v>352.15008999999998</v>
      </c>
      <c r="L301" s="7">
        <f>G301-J301</f>
        <v>-0.12551000000001977</v>
      </c>
      <c r="M301" s="1" t="s">
        <v>1589</v>
      </c>
      <c r="N301" s="2">
        <v>20902701.7189027</v>
      </c>
      <c r="O301" s="1">
        <v>14967082.2174516</v>
      </c>
      <c r="P301" s="1">
        <v>4670286.2461546101</v>
      </c>
      <c r="Q301" s="1">
        <f>STDEV(N301:P301)</f>
        <v>8213270.7473985394</v>
      </c>
      <c r="R301" s="1">
        <v>13513356.727502972</v>
      </c>
      <c r="S301" s="1">
        <v>1.657166985487285E-2</v>
      </c>
    </row>
    <row r="302" spans="1:19" x14ac:dyDescent="0.3">
      <c r="A302" s="1">
        <v>523</v>
      </c>
      <c r="B302" s="1" t="s">
        <v>2869</v>
      </c>
      <c r="C302" s="1" t="s">
        <v>2870</v>
      </c>
      <c r="D302" s="1">
        <v>6.3879999999999999</v>
      </c>
      <c r="E302" s="1" t="s">
        <v>2871</v>
      </c>
      <c r="F302" s="1" t="s">
        <v>2872</v>
      </c>
      <c r="G302" s="1">
        <v>330.16318999999999</v>
      </c>
      <c r="H302" s="2">
        <v>55340268.452182896</v>
      </c>
      <c r="I302" s="1" t="s">
        <v>23</v>
      </c>
      <c r="J302" s="1">
        <v>330.28886</v>
      </c>
      <c r="K302" s="1">
        <v>331.17047000000002</v>
      </c>
      <c r="L302" s="7">
        <f>G302-J302</f>
        <v>-0.12567000000001372</v>
      </c>
      <c r="M302" s="1" t="s">
        <v>2873</v>
      </c>
      <c r="N302" s="2">
        <v>1626503.8376996701</v>
      </c>
      <c r="O302" s="1">
        <v>2235663.6965651801</v>
      </c>
      <c r="P302" s="1">
        <v>2925462.3383715702</v>
      </c>
      <c r="Q302" s="1">
        <f>STDEV(N302:P302)</f>
        <v>649896.28484843322</v>
      </c>
      <c r="R302" s="1">
        <v>2262543.2908788067</v>
      </c>
      <c r="S302" s="1">
        <v>2.7745971045440893E-3</v>
      </c>
    </row>
    <row r="303" spans="1:19" x14ac:dyDescent="0.3">
      <c r="A303" s="1">
        <v>73</v>
      </c>
      <c r="B303" s="1" t="s">
        <v>1187</v>
      </c>
      <c r="C303" s="1" t="s">
        <v>1188</v>
      </c>
      <c r="D303" s="1">
        <v>11.247</v>
      </c>
      <c r="E303" s="1" t="s">
        <v>1189</v>
      </c>
      <c r="F303" s="1" t="s">
        <v>1190</v>
      </c>
      <c r="G303" s="1">
        <v>256.21708999999998</v>
      </c>
      <c r="H303" s="2">
        <v>44660800.207759202</v>
      </c>
      <c r="I303" s="1" t="s">
        <v>23</v>
      </c>
      <c r="J303" s="1">
        <v>256.34280000000001</v>
      </c>
      <c r="K303" s="1">
        <v>257.22437000000002</v>
      </c>
      <c r="L303" s="7">
        <f>G303-J303</f>
        <v>-0.12571000000002641</v>
      </c>
      <c r="M303" s="1" t="s">
        <v>24</v>
      </c>
      <c r="N303" s="2">
        <v>44660800.207759202</v>
      </c>
      <c r="O303" s="1">
        <v>32204135.604566</v>
      </c>
      <c r="P303" s="1">
        <v>12941960.895766599</v>
      </c>
      <c r="Q303" s="1">
        <f>STDEV(N303:P303)</f>
        <v>15980637.423920048</v>
      </c>
      <c r="R303" s="1">
        <v>29935632.236030605</v>
      </c>
      <c r="S303" s="1">
        <v>3.6710598581530654E-2</v>
      </c>
    </row>
    <row r="304" spans="1:19" x14ac:dyDescent="0.3">
      <c r="A304" s="1">
        <v>48</v>
      </c>
      <c r="B304" s="1" t="s">
        <v>3055</v>
      </c>
      <c r="C304" s="1" t="s">
        <v>3056</v>
      </c>
      <c r="D304" s="1">
        <v>11.42</v>
      </c>
      <c r="E304" s="1" t="s">
        <v>3057</v>
      </c>
      <c r="F304" s="1" t="s">
        <v>3058</v>
      </c>
      <c r="G304" s="1">
        <v>370.31637000000001</v>
      </c>
      <c r="H304" s="2">
        <v>38483577.739301302</v>
      </c>
      <c r="I304" s="1" t="s">
        <v>23</v>
      </c>
      <c r="J304" s="1">
        <v>370.44213999999999</v>
      </c>
      <c r="K304" s="1">
        <v>371.32378999999997</v>
      </c>
      <c r="L304" s="7">
        <f>G304-J304</f>
        <v>-0.12576999999998861</v>
      </c>
      <c r="M304" s="1" t="s">
        <v>2382</v>
      </c>
      <c r="N304" s="2">
        <v>4202853.2308340603</v>
      </c>
      <c r="O304" s="1">
        <v>689968.35302403395</v>
      </c>
      <c r="P304" s="1">
        <v>612222.28715926304</v>
      </c>
      <c r="Q304" s="1">
        <f>STDEV(N304:P304)</f>
        <v>2050976.8074903069</v>
      </c>
      <c r="R304" s="1">
        <v>1835014.6236724525</v>
      </c>
      <c r="S304" s="1">
        <v>2.2503110911349941E-3</v>
      </c>
    </row>
    <row r="305" spans="1:19" x14ac:dyDescent="0.3">
      <c r="A305" s="1">
        <v>274</v>
      </c>
      <c r="B305" s="1" t="s">
        <v>734</v>
      </c>
      <c r="C305" s="1" t="s">
        <v>735</v>
      </c>
      <c r="D305" s="1">
        <v>10.244</v>
      </c>
      <c r="E305" s="1" t="s">
        <v>736</v>
      </c>
      <c r="F305" s="1" t="s">
        <v>737</v>
      </c>
      <c r="G305" s="1">
        <v>245.23376999999999</v>
      </c>
      <c r="H305" s="2">
        <v>173441292.518985</v>
      </c>
      <c r="I305" s="1" t="s">
        <v>23</v>
      </c>
      <c r="J305" s="1">
        <v>245.35991999999999</v>
      </c>
      <c r="K305" s="1">
        <v>246.24104</v>
      </c>
      <c r="L305" s="7">
        <f>G305-J305</f>
        <v>-0.12614999999999554</v>
      </c>
      <c r="M305" s="1" t="s">
        <v>738</v>
      </c>
      <c r="N305" s="2">
        <v>122093475.674123</v>
      </c>
      <c r="O305" s="1">
        <v>44332513.1071968</v>
      </c>
      <c r="P305" s="1">
        <v>19419377.977704801</v>
      </c>
      <c r="Q305" s="1">
        <f>STDEV(N305:P305)</f>
        <v>53555892.827165246</v>
      </c>
      <c r="R305" s="1">
        <v>61948455.58634153</v>
      </c>
      <c r="S305" s="1">
        <v>7.5968493594692585E-2</v>
      </c>
    </row>
    <row r="306" spans="1:19" x14ac:dyDescent="0.3">
      <c r="A306" s="1">
        <v>449</v>
      </c>
      <c r="B306" s="1" t="s">
        <v>2559</v>
      </c>
      <c r="C306" s="1" t="s">
        <v>2560</v>
      </c>
      <c r="D306" s="1">
        <v>8.9339999999999993</v>
      </c>
      <c r="E306" s="1" t="s">
        <v>2561</v>
      </c>
      <c r="F306" s="1" t="s">
        <v>2562</v>
      </c>
      <c r="G306" s="1">
        <v>450.30959999999999</v>
      </c>
      <c r="H306" s="2">
        <v>97854897.316713795</v>
      </c>
      <c r="I306" s="1" t="s">
        <v>23</v>
      </c>
      <c r="J306" s="1">
        <v>450.43583999999998</v>
      </c>
      <c r="K306" s="1">
        <v>451.31682999999998</v>
      </c>
      <c r="L306" s="7">
        <f>G306-J306</f>
        <v>-0.12623999999999569</v>
      </c>
      <c r="M306" s="1" t="s">
        <v>2563</v>
      </c>
      <c r="N306" s="2">
        <v>2641379.10947672</v>
      </c>
      <c r="O306" s="1">
        <v>3231014.9030671199</v>
      </c>
      <c r="P306" s="1">
        <v>3681024.4193597902</v>
      </c>
      <c r="Q306" s="1">
        <f>STDEV(N306:P306)</f>
        <v>521382.98530587548</v>
      </c>
      <c r="R306" s="1">
        <v>3184472.8106345437</v>
      </c>
      <c r="S306" s="1">
        <v>3.9051756823862086E-3</v>
      </c>
    </row>
    <row r="307" spans="1:19" x14ac:dyDescent="0.3">
      <c r="A307" s="1">
        <v>133</v>
      </c>
      <c r="B307" s="1" t="s">
        <v>802</v>
      </c>
      <c r="C307" s="1" t="s">
        <v>803</v>
      </c>
      <c r="D307" s="1">
        <v>11.311999999999999</v>
      </c>
      <c r="E307" s="1" t="s">
        <v>804</v>
      </c>
      <c r="F307" s="1" t="s">
        <v>805</v>
      </c>
      <c r="G307" s="1">
        <v>310.26357999999999</v>
      </c>
      <c r="H307" s="2">
        <v>77509850.103161305</v>
      </c>
      <c r="I307" s="1" t="s">
        <v>23</v>
      </c>
      <c r="J307" s="1">
        <v>310.39017999999999</v>
      </c>
      <c r="K307" s="1">
        <v>311.27085</v>
      </c>
      <c r="L307" s="7">
        <f>G307-J307</f>
        <v>-0.12659999999999627</v>
      </c>
      <c r="M307" s="1" t="s">
        <v>806</v>
      </c>
      <c r="N307" s="2">
        <v>33703032.688926101</v>
      </c>
      <c r="O307" s="1">
        <v>77509850.103161305</v>
      </c>
      <c r="P307" s="1">
        <v>55535188.4325464</v>
      </c>
      <c r="Q307" s="1">
        <f>STDEV(N307:P307)</f>
        <v>21903447.33870228</v>
      </c>
      <c r="R307" s="1">
        <v>55582690.408211268</v>
      </c>
      <c r="S307" s="1">
        <v>6.8162042463944292E-2</v>
      </c>
    </row>
    <row r="308" spans="1:19" x14ac:dyDescent="0.3">
      <c r="A308" s="1">
        <v>569</v>
      </c>
      <c r="B308" s="1" t="s">
        <v>111</v>
      </c>
      <c r="C308" s="1" t="s">
        <v>112</v>
      </c>
      <c r="D308" s="1">
        <v>1.393</v>
      </c>
      <c r="E308" s="1" t="s">
        <v>113</v>
      </c>
      <c r="F308" s="1" t="s">
        <v>114</v>
      </c>
      <c r="G308" s="1">
        <v>418.26634999999999</v>
      </c>
      <c r="H308" s="2">
        <v>1320533293.2679601</v>
      </c>
      <c r="I308" s="1" t="s">
        <v>23</v>
      </c>
      <c r="J308" s="1">
        <v>418.39398</v>
      </c>
      <c r="K308" s="1">
        <v>419.27361999999999</v>
      </c>
      <c r="L308" s="7">
        <f>G308-J308</f>
        <v>-0.12763000000001057</v>
      </c>
      <c r="M308" s="1" t="s">
        <v>87</v>
      </c>
      <c r="N308" s="2">
        <v>11753681.569498301</v>
      </c>
      <c r="O308" s="1">
        <v>786631954.51107705</v>
      </c>
      <c r="P308" s="1">
        <v>1320533293.2679601</v>
      </c>
      <c r="Q308" s="1">
        <f>STDEV(N308:P308)</f>
        <v>658076876.13237762</v>
      </c>
      <c r="R308" s="1">
        <v>706306309.78284514</v>
      </c>
      <c r="S308" s="1">
        <v>0.86615599796259313</v>
      </c>
    </row>
    <row r="309" spans="1:19" x14ac:dyDescent="0.3">
      <c r="A309" s="1">
        <v>581</v>
      </c>
      <c r="B309" s="1" t="s">
        <v>1224</v>
      </c>
      <c r="C309" s="1" t="s">
        <v>1225</v>
      </c>
      <c r="D309" s="1">
        <v>0.77400000000000002</v>
      </c>
      <c r="E309" s="1" t="s">
        <v>1226</v>
      </c>
      <c r="F309" s="1" t="s">
        <v>1227</v>
      </c>
      <c r="G309" s="1">
        <v>284.13522999999998</v>
      </c>
      <c r="H309" s="2">
        <v>31864000.786549199</v>
      </c>
      <c r="I309" s="1" t="s">
        <v>23</v>
      </c>
      <c r="J309" s="1">
        <v>284.26348000000002</v>
      </c>
      <c r="K309" s="1">
        <v>285.14249000000001</v>
      </c>
      <c r="L309" s="7">
        <f>G309-J309</f>
        <v>-0.12825000000003683</v>
      </c>
      <c r="M309" s="1" t="s">
        <v>1228</v>
      </c>
      <c r="N309" s="2">
        <v>26741074.500652902</v>
      </c>
      <c r="O309" s="1">
        <v>27249712.652194101</v>
      </c>
      <c r="P309" s="1">
        <v>31864000.786549199</v>
      </c>
      <c r="Q309" s="1">
        <f>STDEV(N309:P309)</f>
        <v>2822373.1588499756</v>
      </c>
      <c r="R309" s="1">
        <v>28618262.646465402</v>
      </c>
      <c r="S309" s="1">
        <v>3.5095084808354479E-2</v>
      </c>
    </row>
    <row r="310" spans="1:19" x14ac:dyDescent="0.3">
      <c r="A310" s="1">
        <v>463</v>
      </c>
      <c r="B310" s="1" t="s">
        <v>1684</v>
      </c>
      <c r="C310" s="1" t="s">
        <v>1685</v>
      </c>
      <c r="D310" s="1">
        <v>7.1079999999999997</v>
      </c>
      <c r="E310" s="1" t="s">
        <v>1686</v>
      </c>
      <c r="F310" s="1" t="s">
        <v>1687</v>
      </c>
      <c r="G310" s="1">
        <v>274.14037000000002</v>
      </c>
      <c r="H310" s="2">
        <v>30748970.906657699</v>
      </c>
      <c r="I310" s="1" t="s">
        <v>17</v>
      </c>
      <c r="J310" s="1">
        <v>274.26866000000001</v>
      </c>
      <c r="K310" s="1">
        <v>273.13308999999998</v>
      </c>
      <c r="L310" s="7">
        <f>G310-J310</f>
        <v>-0.12828999999999269</v>
      </c>
      <c r="M310" s="1" t="s">
        <v>1688</v>
      </c>
      <c r="N310" s="2">
        <v>10699079.107851701</v>
      </c>
      <c r="O310" s="1">
        <v>11654897.5003962</v>
      </c>
      <c r="P310" s="1">
        <v>11198638.4212528</v>
      </c>
      <c r="Q310" s="1">
        <f>STDEV(N310:P310)</f>
        <v>478072.63298110355</v>
      </c>
      <c r="R310" s="1">
        <v>11184205.009833567</v>
      </c>
      <c r="S310" s="1">
        <v>1.3715389651111838E-2</v>
      </c>
    </row>
    <row r="311" spans="1:19" x14ac:dyDescent="0.3">
      <c r="A311" s="1">
        <v>757</v>
      </c>
      <c r="B311" s="1" t="s">
        <v>3822</v>
      </c>
      <c r="C311" s="1" t="s">
        <v>3823</v>
      </c>
      <c r="D311" s="1">
        <v>17.297000000000001</v>
      </c>
      <c r="E311" s="1" t="s">
        <v>3824</v>
      </c>
      <c r="F311" s="1" t="s">
        <v>3825</v>
      </c>
      <c r="G311" s="1">
        <v>152.10513</v>
      </c>
      <c r="H311" s="2">
        <v>33710890.231362902</v>
      </c>
      <c r="I311" s="1" t="s">
        <v>23</v>
      </c>
      <c r="J311" s="1">
        <v>152.23344</v>
      </c>
      <c r="K311" s="1">
        <v>153.11241000000001</v>
      </c>
      <c r="L311" s="7">
        <f>G311-J311</f>
        <v>-0.12830999999999904</v>
      </c>
      <c r="M311" s="1" t="s">
        <v>24</v>
      </c>
      <c r="N311" s="2">
        <v>675415.13790546905</v>
      </c>
      <c r="O311" s="1">
        <v>770098.70184800995</v>
      </c>
      <c r="P311" s="1">
        <v>762155.08317598805</v>
      </c>
      <c r="Q311" s="1">
        <f>STDEV(N311:P311)</f>
        <v>52522.846559061574</v>
      </c>
      <c r="R311" s="1">
        <v>735889.64097648906</v>
      </c>
      <c r="S311" s="1">
        <v>9.0243456350587231E-4</v>
      </c>
    </row>
    <row r="312" spans="1:19" x14ac:dyDescent="0.3">
      <c r="A312" s="1">
        <v>20</v>
      </c>
      <c r="B312" s="1" t="s">
        <v>2965</v>
      </c>
      <c r="C312" s="1" t="s">
        <v>2966</v>
      </c>
      <c r="D312" s="1">
        <v>6.6970000000000001</v>
      </c>
      <c r="E312" s="1" t="s">
        <v>2967</v>
      </c>
      <c r="F312" s="1" t="s">
        <v>2968</v>
      </c>
      <c r="G312" s="1">
        <v>420.19832000000002</v>
      </c>
      <c r="H312" s="2">
        <v>4671060.4671179699</v>
      </c>
      <c r="I312" s="1" t="s">
        <v>17</v>
      </c>
      <c r="J312" s="1">
        <v>420.32704000000001</v>
      </c>
      <c r="K312" s="1">
        <v>419.19103999999999</v>
      </c>
      <c r="L312" s="7">
        <f>G312-J312</f>
        <v>-0.12871999999998707</v>
      </c>
      <c r="M312" s="1" t="s">
        <v>2969</v>
      </c>
      <c r="N312" s="2">
        <v>2548002.8062580898</v>
      </c>
      <c r="O312" s="1">
        <v>647951.27519612003</v>
      </c>
      <c r="P312" s="1">
        <v>2911364.10639353</v>
      </c>
      <c r="Q312" s="1">
        <f>STDEV(N312:P312)</f>
        <v>1215542.738831515</v>
      </c>
      <c r="R312" s="1">
        <v>2035772.7292825801</v>
      </c>
      <c r="S312" s="1">
        <v>2.4965043289772015E-3</v>
      </c>
    </row>
    <row r="313" spans="1:19" x14ac:dyDescent="0.3">
      <c r="A313" s="1">
        <v>139</v>
      </c>
      <c r="B313" s="1" t="s">
        <v>971</v>
      </c>
      <c r="C313" s="1" t="s">
        <v>972</v>
      </c>
      <c r="D313" s="1">
        <v>8.83</v>
      </c>
      <c r="E313" s="1" t="s">
        <v>973</v>
      </c>
      <c r="F313" s="1" t="s">
        <v>974</v>
      </c>
      <c r="G313" s="1">
        <v>216.15011999999999</v>
      </c>
      <c r="H313" s="2">
        <v>310089707.22358501</v>
      </c>
      <c r="I313" s="1" t="s">
        <v>23</v>
      </c>
      <c r="J313" s="1">
        <v>216.27894000000001</v>
      </c>
      <c r="K313" s="1">
        <v>217.15738999999999</v>
      </c>
      <c r="L313" s="7">
        <f>G313-J313</f>
        <v>-0.12882000000001881</v>
      </c>
      <c r="M313" s="1" t="s">
        <v>975</v>
      </c>
      <c r="N313" s="2">
        <v>95268161.053200603</v>
      </c>
      <c r="O313" s="1">
        <v>19038952.289076801</v>
      </c>
      <c r="P313" s="1">
        <v>15337670.9168837</v>
      </c>
      <c r="Q313" s="1">
        <f>STDEV(N313:P313)</f>
        <v>45117393.183472604</v>
      </c>
      <c r="R313" s="1">
        <v>43214928.086387038</v>
      </c>
      <c r="S313" s="1">
        <v>5.2995235417130047E-2</v>
      </c>
    </row>
    <row r="314" spans="1:19" x14ac:dyDescent="0.3">
      <c r="A314" s="1">
        <v>603</v>
      </c>
      <c r="B314" s="1" t="s">
        <v>3913</v>
      </c>
      <c r="C314" s="1" t="s">
        <v>3914</v>
      </c>
      <c r="D314" s="1">
        <v>9.0340000000000007</v>
      </c>
      <c r="E314" s="1" t="s">
        <v>3915</v>
      </c>
      <c r="F314" s="1" t="s">
        <v>3916</v>
      </c>
      <c r="G314" s="1">
        <v>270.10807999999997</v>
      </c>
      <c r="H314" s="2">
        <v>1032895.48326584</v>
      </c>
      <c r="I314" s="1" t="s">
        <v>17</v>
      </c>
      <c r="J314" s="1">
        <v>270.23689999999999</v>
      </c>
      <c r="K314" s="1">
        <v>269.10079999999999</v>
      </c>
      <c r="L314" s="7">
        <f>G314-J314</f>
        <v>-0.12882000000001881</v>
      </c>
      <c r="M314" s="1" t="s">
        <v>3917</v>
      </c>
      <c r="N314" s="2">
        <v>1032895.48326584</v>
      </c>
      <c r="O314" s="1">
        <v>405250.93064703501</v>
      </c>
      <c r="P314" s="1">
        <v>552914.30132311699</v>
      </c>
      <c r="Q314" s="1">
        <f>STDEV(N314:P314)</f>
        <v>328157.50549865921</v>
      </c>
      <c r="R314" s="1">
        <v>663686.90507866407</v>
      </c>
      <c r="S314" s="1">
        <v>8.1389106346771206E-4</v>
      </c>
    </row>
    <row r="315" spans="1:19" x14ac:dyDescent="0.3">
      <c r="A315" s="1">
        <v>689</v>
      </c>
      <c r="B315" s="1" t="s">
        <v>69</v>
      </c>
      <c r="C315" s="1" t="s">
        <v>70</v>
      </c>
      <c r="D315" s="1">
        <v>13.282</v>
      </c>
      <c r="E315" s="1" t="s">
        <v>71</v>
      </c>
      <c r="F315" s="1" t="s">
        <v>72</v>
      </c>
      <c r="G315" s="1">
        <v>546.39232000000004</v>
      </c>
      <c r="H315" s="2">
        <v>3156571666.7867298</v>
      </c>
      <c r="I315" s="1" t="s">
        <v>23</v>
      </c>
      <c r="J315" s="1">
        <v>546.52143999999998</v>
      </c>
      <c r="K315" s="1">
        <v>547.39959999999996</v>
      </c>
      <c r="L315" s="7">
        <f>G315-J315</f>
        <v>-0.1291199999999435</v>
      </c>
      <c r="M315" s="1" t="s">
        <v>73</v>
      </c>
      <c r="N315" s="2">
        <v>1066843939.20126</v>
      </c>
      <c r="O315" s="1">
        <v>1493207718.57687</v>
      </c>
      <c r="P315" s="1">
        <v>1660598108.33952</v>
      </c>
      <c r="Q315" s="1">
        <f>STDEV(N315:P315)</f>
        <v>306145289.12413692</v>
      </c>
      <c r="R315" s="1">
        <v>1406883255.37255</v>
      </c>
      <c r="S315" s="1">
        <v>1.7252859746484879</v>
      </c>
    </row>
    <row r="316" spans="1:19" x14ac:dyDescent="0.3">
      <c r="A316" s="1">
        <v>755</v>
      </c>
      <c r="B316" s="1" t="s">
        <v>157</v>
      </c>
      <c r="C316" s="1" t="s">
        <v>158</v>
      </c>
      <c r="D316" s="1">
        <v>0.59799999999999998</v>
      </c>
      <c r="E316" s="1" t="s">
        <v>159</v>
      </c>
      <c r="F316" s="1" t="s">
        <v>160</v>
      </c>
      <c r="G316" s="1">
        <v>150.08823000000001</v>
      </c>
      <c r="H316" s="2">
        <v>792641337.41673994</v>
      </c>
      <c r="I316" s="1" t="s">
        <v>23</v>
      </c>
      <c r="J316" s="1">
        <v>150.21755999999999</v>
      </c>
      <c r="K316" s="1">
        <v>151.09556000000001</v>
      </c>
      <c r="L316" s="7">
        <f>G316-J316</f>
        <v>-0.12932999999998174</v>
      </c>
      <c r="M316" s="1" t="s">
        <v>24</v>
      </c>
      <c r="N316" s="2">
        <v>11538256.0130306</v>
      </c>
      <c r="O316" s="1">
        <v>601180071.18671501</v>
      </c>
      <c r="P316" s="1">
        <v>792641337.41673994</v>
      </c>
      <c r="Q316" s="1">
        <f>STDEV(N316:P316)</f>
        <v>407115239.71436137</v>
      </c>
      <c r="R316" s="1">
        <v>468453221.53882855</v>
      </c>
      <c r="S316" s="1">
        <v>0.57447252272955807</v>
      </c>
    </row>
    <row r="317" spans="1:19" x14ac:dyDescent="0.3">
      <c r="A317" s="1">
        <v>530</v>
      </c>
      <c r="B317" s="1" t="s">
        <v>1099</v>
      </c>
      <c r="C317" s="1" t="s">
        <v>1100</v>
      </c>
      <c r="D317" s="1">
        <v>1.8360000000000001</v>
      </c>
      <c r="E317" s="1" t="s">
        <v>1101</v>
      </c>
      <c r="F317" s="1" t="s">
        <v>1102</v>
      </c>
      <c r="G317" s="1">
        <v>287.11333999999999</v>
      </c>
      <c r="H317" s="2">
        <v>43915472.644855298</v>
      </c>
      <c r="I317" s="1" t="s">
        <v>23</v>
      </c>
      <c r="J317" s="1">
        <v>287.24423999999999</v>
      </c>
      <c r="K317" s="1">
        <v>288.12061999999997</v>
      </c>
      <c r="L317" s="7">
        <f>G317-J317</f>
        <v>-0.13089999999999691</v>
      </c>
      <c r="M317" s="1" t="s">
        <v>24</v>
      </c>
      <c r="N317" s="2">
        <v>26193811.319013499</v>
      </c>
      <c r="O317" s="1">
        <v>30884331.3436203</v>
      </c>
      <c r="P317" s="1">
        <v>43915472.644855298</v>
      </c>
      <c r="Q317" s="1">
        <f>STDEV(N317:P317)</f>
        <v>9182128.4920021538</v>
      </c>
      <c r="R317" s="1">
        <v>33664538.435829699</v>
      </c>
      <c r="S317" s="1">
        <v>4.1283422618440209E-2</v>
      </c>
    </row>
    <row r="318" spans="1:19" x14ac:dyDescent="0.3">
      <c r="A318" s="1">
        <v>675</v>
      </c>
      <c r="B318" s="1" t="s">
        <v>1258</v>
      </c>
      <c r="C318" s="1" t="s">
        <v>1259</v>
      </c>
      <c r="D318" s="1">
        <v>8.0670000000000002</v>
      </c>
      <c r="E318" s="1" t="s">
        <v>1260</v>
      </c>
      <c r="F318" s="1" t="s">
        <v>1261</v>
      </c>
      <c r="G318" s="1">
        <v>286.19137000000001</v>
      </c>
      <c r="H318" s="2">
        <v>81889626.898595899</v>
      </c>
      <c r="I318" s="1" t="s">
        <v>156</v>
      </c>
      <c r="J318" s="1">
        <v>286.32242000000002</v>
      </c>
      <c r="K318" s="1">
        <v>269.18810999999999</v>
      </c>
      <c r="L318" s="7">
        <f>G318-J318</f>
        <v>-0.1310500000000161</v>
      </c>
      <c r="M318" s="1" t="s">
        <v>1262</v>
      </c>
      <c r="N318" s="2">
        <v>25910890.556265801</v>
      </c>
      <c r="O318" s="1">
        <v>35288790.928563297</v>
      </c>
      <c r="P318" s="1">
        <v>19654374.597950902</v>
      </c>
      <c r="Q318" s="1">
        <f>STDEV(N318:P318)</f>
        <v>7868968.3920268416</v>
      </c>
      <c r="R318" s="1">
        <v>26951352.027593333</v>
      </c>
      <c r="S318" s="1">
        <v>3.3050922650087085E-2</v>
      </c>
    </row>
    <row r="319" spans="1:19" x14ac:dyDescent="0.3">
      <c r="A319" s="1">
        <v>465</v>
      </c>
      <c r="B319" s="1" t="s">
        <v>558</v>
      </c>
      <c r="C319" s="1" t="s">
        <v>559</v>
      </c>
      <c r="D319" s="1">
        <v>0.66100000000000003</v>
      </c>
      <c r="E319" s="1" t="s">
        <v>560</v>
      </c>
      <c r="F319" s="1" t="s">
        <v>561</v>
      </c>
      <c r="G319" s="1">
        <v>272.12151999999998</v>
      </c>
      <c r="H319" s="2">
        <v>208653315.92064101</v>
      </c>
      <c r="I319" s="1" t="s">
        <v>344</v>
      </c>
      <c r="J319" s="1">
        <v>272.25277999999997</v>
      </c>
      <c r="K319" s="1">
        <v>305.15490999999997</v>
      </c>
      <c r="L319" s="7">
        <f>G319-J319</f>
        <v>-0.13125999999999749</v>
      </c>
      <c r="M319" s="1" t="s">
        <v>562</v>
      </c>
      <c r="N319" s="2">
        <v>6790009.6188553702</v>
      </c>
      <c r="O319" s="1">
        <v>52571414.386141203</v>
      </c>
      <c r="P319" s="1">
        <v>208653315.92064101</v>
      </c>
      <c r="Q319" s="1">
        <f>STDEV(N319:P319)</f>
        <v>105835006.37011987</v>
      </c>
      <c r="R319" s="1">
        <v>89338246.641879186</v>
      </c>
      <c r="S319" s="1">
        <v>0.10955708182773562</v>
      </c>
    </row>
    <row r="320" spans="1:19" x14ac:dyDescent="0.3">
      <c r="A320" s="1">
        <v>911</v>
      </c>
      <c r="B320" s="1" t="s">
        <v>1859</v>
      </c>
      <c r="C320" s="1" t="s">
        <v>1860</v>
      </c>
      <c r="D320" s="1">
        <v>6.3259999999999996</v>
      </c>
      <c r="E320" s="1" t="s">
        <v>1861</v>
      </c>
      <c r="F320" s="1" t="s">
        <v>1862</v>
      </c>
      <c r="G320" s="1">
        <v>286.10388999999998</v>
      </c>
      <c r="H320" s="2">
        <v>16411453.755569501</v>
      </c>
      <c r="I320" s="1" t="s">
        <v>959</v>
      </c>
      <c r="J320" s="1">
        <v>286.23630000000003</v>
      </c>
      <c r="K320" s="1">
        <v>267.08605999999997</v>
      </c>
      <c r="L320" s="7">
        <f>G320-J320</f>
        <v>-0.13241000000004988</v>
      </c>
      <c r="M320" s="1" t="s">
        <v>1863</v>
      </c>
      <c r="N320" s="2">
        <v>3575880.2580033899</v>
      </c>
      <c r="O320" s="1">
        <v>16411453.755569501</v>
      </c>
      <c r="P320" s="1">
        <v>7516156.5736728096</v>
      </c>
      <c r="Q320" s="1">
        <f>STDEV(N320:P320)</f>
        <v>6575257.1104292981</v>
      </c>
      <c r="R320" s="1">
        <v>9167830.1957485657</v>
      </c>
      <c r="S320" s="1">
        <v>1.1242673330770038E-2</v>
      </c>
    </row>
    <row r="321" spans="1:19" x14ac:dyDescent="0.3">
      <c r="A321" s="1">
        <v>668</v>
      </c>
      <c r="B321" s="1" t="s">
        <v>1200</v>
      </c>
      <c r="C321" s="1" t="s">
        <v>1201</v>
      </c>
      <c r="D321" s="1">
        <v>1.4870000000000001</v>
      </c>
      <c r="E321" s="1" t="s">
        <v>1202</v>
      </c>
      <c r="F321" s="1" t="s">
        <v>1203</v>
      </c>
      <c r="G321" s="1">
        <v>300.13033000000001</v>
      </c>
      <c r="H321" s="2">
        <v>52005495.880318701</v>
      </c>
      <c r="I321" s="1" t="s">
        <v>23</v>
      </c>
      <c r="J321" s="1">
        <v>300.26288</v>
      </c>
      <c r="K321" s="1">
        <v>301.1377</v>
      </c>
      <c r="L321" s="7">
        <f>G321-J321</f>
        <v>-0.13254999999998063</v>
      </c>
      <c r="M321" s="1" t="s">
        <v>1204</v>
      </c>
      <c r="N321" s="2">
        <v>52005495.880318701</v>
      </c>
      <c r="O321" s="1">
        <v>22168453.8420032</v>
      </c>
      <c r="P321" s="1">
        <v>14720495.311530801</v>
      </c>
      <c r="Q321" s="1">
        <f>STDEV(N321:P321)</f>
        <v>19731077.142764572</v>
      </c>
      <c r="R321" s="1">
        <v>29631481.6779509</v>
      </c>
      <c r="S321" s="1">
        <v>3.633761333912866E-2</v>
      </c>
    </row>
    <row r="322" spans="1:19" x14ac:dyDescent="0.3">
      <c r="A322" s="1">
        <v>681</v>
      </c>
      <c r="B322" s="1" t="s">
        <v>2365</v>
      </c>
      <c r="C322" s="1" t="s">
        <v>2366</v>
      </c>
      <c r="D322" s="1">
        <v>1.03</v>
      </c>
      <c r="E322" s="1" t="s">
        <v>2367</v>
      </c>
      <c r="F322" s="1" t="s">
        <v>2368</v>
      </c>
      <c r="G322" s="1">
        <v>300.13019000000003</v>
      </c>
      <c r="H322" s="2">
        <v>8271822.1355091399</v>
      </c>
      <c r="I322" s="1" t="s">
        <v>344</v>
      </c>
      <c r="J322" s="1">
        <v>300.26288</v>
      </c>
      <c r="K322" s="1">
        <v>333.16309000000001</v>
      </c>
      <c r="L322" s="7">
        <f>G322-J322</f>
        <v>-0.13268999999996822</v>
      </c>
      <c r="M322" s="1" t="s">
        <v>24</v>
      </c>
      <c r="N322" s="2">
        <v>8271822.1355091399</v>
      </c>
      <c r="O322" s="1">
        <v>1866000.43429514</v>
      </c>
      <c r="P322" s="1">
        <v>3184347.8426675098</v>
      </c>
      <c r="Q322" s="1">
        <f>STDEV(N322:P322)</f>
        <v>3382676.1160662621</v>
      </c>
      <c r="R322" s="1">
        <v>4440723.4708239296</v>
      </c>
      <c r="S322" s="1">
        <v>5.445738224722896E-3</v>
      </c>
    </row>
    <row r="323" spans="1:19" x14ac:dyDescent="0.3">
      <c r="A323" s="1">
        <v>546</v>
      </c>
      <c r="B323" s="1" t="s">
        <v>1325</v>
      </c>
      <c r="C323" s="1" t="s">
        <v>1326</v>
      </c>
      <c r="D323" s="1">
        <v>0.88</v>
      </c>
      <c r="E323" s="1" t="s">
        <v>1327</v>
      </c>
      <c r="F323" s="1" t="s">
        <v>1328</v>
      </c>
      <c r="G323" s="1">
        <v>300.12990000000002</v>
      </c>
      <c r="H323" s="2">
        <v>34208381.618349403</v>
      </c>
      <c r="I323" s="1" t="s">
        <v>344</v>
      </c>
      <c r="J323" s="1">
        <v>300.26288</v>
      </c>
      <c r="K323" s="1">
        <v>333.16332999999997</v>
      </c>
      <c r="L323" s="7">
        <f>G323-J323</f>
        <v>-0.13297999999997501</v>
      </c>
      <c r="M323" s="1" t="s">
        <v>1204</v>
      </c>
      <c r="N323" s="2">
        <v>8271822.1355091399</v>
      </c>
      <c r="O323" s="1">
        <v>34208381.618349403</v>
      </c>
      <c r="P323" s="1">
        <v>28684472.981033299</v>
      </c>
      <c r="Q323" s="1">
        <f>STDEV(N323:P323)</f>
        <v>13661960.565633832</v>
      </c>
      <c r="R323" s="1">
        <v>23721558.911630616</v>
      </c>
      <c r="S323" s="1">
        <v>2.9090169870702322E-2</v>
      </c>
    </row>
    <row r="324" spans="1:19" x14ac:dyDescent="0.3">
      <c r="A324" s="1">
        <v>179</v>
      </c>
      <c r="B324" s="1" t="s">
        <v>3618</v>
      </c>
      <c r="C324" s="1" t="s">
        <v>3619</v>
      </c>
      <c r="D324" s="1">
        <v>14.968999999999999</v>
      </c>
      <c r="E324" s="1" t="s">
        <v>3620</v>
      </c>
      <c r="F324" s="1" t="s">
        <v>3621</v>
      </c>
      <c r="G324" s="1">
        <v>610.47581000000002</v>
      </c>
      <c r="H324" s="2">
        <v>787412819.03710902</v>
      </c>
      <c r="I324" s="1" t="s">
        <v>398</v>
      </c>
      <c r="J324" s="1">
        <v>610.61</v>
      </c>
      <c r="K324" s="1">
        <v>628.50969999999995</v>
      </c>
      <c r="L324" s="7">
        <f>G324-J324</f>
        <v>-0.1341899999999896</v>
      </c>
      <c r="M324" s="1" t="s">
        <v>3622</v>
      </c>
      <c r="N324" s="2">
        <v>891991.58714208798</v>
      </c>
      <c r="O324" s="1">
        <v>985895.50532032002</v>
      </c>
      <c r="P324" s="1">
        <v>845153.46078976896</v>
      </c>
      <c r="Q324" s="1">
        <f>STDEV(N324:P324)</f>
        <v>71670.634418916088</v>
      </c>
      <c r="R324" s="1">
        <v>907680.18441739224</v>
      </c>
      <c r="S324" s="1">
        <v>1.1131043643184116E-3</v>
      </c>
    </row>
    <row r="325" spans="1:19" x14ac:dyDescent="0.3">
      <c r="A325" s="1">
        <v>994</v>
      </c>
      <c r="B325" s="1" t="s">
        <v>869</v>
      </c>
      <c r="C325" s="1" t="s">
        <v>870</v>
      </c>
      <c r="D325" s="1">
        <v>11.081</v>
      </c>
      <c r="E325" s="1" t="s">
        <v>871</v>
      </c>
      <c r="F325" s="1" t="s">
        <v>872</v>
      </c>
      <c r="G325" s="1">
        <v>330.23914000000002</v>
      </c>
      <c r="H325" s="2">
        <v>821538483.23787105</v>
      </c>
      <c r="I325" s="1" t="s">
        <v>17</v>
      </c>
      <c r="J325" s="1">
        <v>330.37497999999999</v>
      </c>
      <c r="K325" s="1">
        <v>329.23185999999998</v>
      </c>
      <c r="L325" s="7">
        <f>G325-J325</f>
        <v>-0.13583999999997332</v>
      </c>
      <c r="M325" s="1" t="s">
        <v>873</v>
      </c>
      <c r="N325" s="2">
        <v>64231594.535363898</v>
      </c>
      <c r="O325" s="1">
        <v>53394631.000948399</v>
      </c>
      <c r="P325" s="1">
        <v>33178298.335183199</v>
      </c>
      <c r="Q325" s="1">
        <f>STDEV(N325:P325)</f>
        <v>15760959.626004677</v>
      </c>
      <c r="R325" s="1">
        <v>50268174.623831831</v>
      </c>
      <c r="S325" s="1">
        <v>6.1644757174050185E-2</v>
      </c>
    </row>
    <row r="326" spans="1:19" x14ac:dyDescent="0.3">
      <c r="A326" s="1">
        <v>963</v>
      </c>
      <c r="B326" s="1" t="s">
        <v>1344</v>
      </c>
      <c r="C326" s="1" t="s">
        <v>1345</v>
      </c>
      <c r="D326" s="1">
        <v>11.49</v>
      </c>
      <c r="E326" s="1"/>
      <c r="F326" s="1" t="s">
        <v>1346</v>
      </c>
      <c r="G326" s="1">
        <v>314.24399</v>
      </c>
      <c r="H326" s="2">
        <v>136165885.94143501</v>
      </c>
      <c r="I326" s="1" t="s">
        <v>17</v>
      </c>
      <c r="J326" s="1">
        <v>314.38</v>
      </c>
      <c r="K326" s="1">
        <v>313.23671000000002</v>
      </c>
      <c r="L326" s="7">
        <f>G326-J326</f>
        <v>-0.13600999999999885</v>
      </c>
      <c r="M326" s="1" t="s">
        <v>1347</v>
      </c>
      <c r="N326" s="2">
        <v>42179802.328920498</v>
      </c>
      <c r="O326" s="1">
        <v>2638116.0225585699</v>
      </c>
      <c r="P326" s="1">
        <v>18262093.149304099</v>
      </c>
      <c r="Q326" s="1">
        <f>STDEV(N326:P326)</f>
        <v>19915280.689328752</v>
      </c>
      <c r="R326" s="1">
        <v>21026670.500261057</v>
      </c>
      <c r="S326" s="1">
        <v>2.5785380250367088E-2</v>
      </c>
    </row>
    <row r="327" spans="1:19" x14ac:dyDescent="0.3">
      <c r="A327" s="1">
        <v>577</v>
      </c>
      <c r="B327" s="1" t="s">
        <v>3608</v>
      </c>
      <c r="C327" s="1" t="s">
        <v>3609</v>
      </c>
      <c r="D327" s="1">
        <v>18.128</v>
      </c>
      <c r="E327" s="1" t="s">
        <v>3610</v>
      </c>
      <c r="F327" s="1" t="s">
        <v>3611</v>
      </c>
      <c r="G327" s="1">
        <v>358.24901</v>
      </c>
      <c r="H327" s="2">
        <v>1691721.9220145899</v>
      </c>
      <c r="I327" s="1" t="s">
        <v>23</v>
      </c>
      <c r="J327" s="1">
        <v>358.38508000000002</v>
      </c>
      <c r="K327" s="1">
        <v>359.25628</v>
      </c>
      <c r="L327" s="7">
        <f>G327-J327</f>
        <v>-0.1360700000000179</v>
      </c>
      <c r="M327" s="1" t="s">
        <v>3612</v>
      </c>
      <c r="N327" s="2">
        <v>1103494.7652836901</v>
      </c>
      <c r="O327" s="1">
        <v>923356.89821983897</v>
      </c>
      <c r="P327" s="1">
        <v>733171.34467812895</v>
      </c>
      <c r="Q327" s="1">
        <f>STDEV(N327:P327)</f>
        <v>185184.42688991793</v>
      </c>
      <c r="R327" s="1">
        <v>920007.669393886</v>
      </c>
      <c r="S327" s="1">
        <v>1.1282217785398231E-3</v>
      </c>
    </row>
    <row r="328" spans="1:19" x14ac:dyDescent="0.3">
      <c r="A328" s="1">
        <v>26</v>
      </c>
      <c r="B328" s="1" t="s">
        <v>2040</v>
      </c>
      <c r="C328" s="1" t="s">
        <v>2041</v>
      </c>
      <c r="D328" s="1">
        <v>12.858000000000001</v>
      </c>
      <c r="E328" s="1" t="s">
        <v>2042</v>
      </c>
      <c r="F328" s="1" t="s">
        <v>2043</v>
      </c>
      <c r="G328" s="1">
        <v>630.39463000000001</v>
      </c>
      <c r="H328" s="2">
        <v>9932790.8603692893</v>
      </c>
      <c r="I328" s="1" t="s">
        <v>17</v>
      </c>
      <c r="J328" s="1">
        <v>630.53204000000005</v>
      </c>
      <c r="K328" s="1">
        <v>629.38734999999997</v>
      </c>
      <c r="L328" s="7">
        <f>G328-J328</f>
        <v>-0.13741000000004533</v>
      </c>
      <c r="M328" s="1" t="s">
        <v>2044</v>
      </c>
      <c r="N328" s="2">
        <v>9932790.8603692893</v>
      </c>
      <c r="O328" s="1">
        <v>9313857.5017927196</v>
      </c>
      <c r="P328" s="1">
        <v>2164624.8467564401</v>
      </c>
      <c r="Q328" s="1">
        <f>STDEV(N328:P328)</f>
        <v>4317387.5062211268</v>
      </c>
      <c r="R328" s="1">
        <v>7137091.0696394825</v>
      </c>
      <c r="S328" s="1">
        <v>8.7523417989485482E-3</v>
      </c>
    </row>
    <row r="329" spans="1:19" x14ac:dyDescent="0.3">
      <c r="A329" s="1">
        <v>590</v>
      </c>
      <c r="B329" s="1" t="s">
        <v>2439</v>
      </c>
      <c r="C329" s="1" t="s">
        <v>2440</v>
      </c>
      <c r="D329" s="1">
        <v>8.2479999999999993</v>
      </c>
      <c r="E329" s="1" t="s">
        <v>2441</v>
      </c>
      <c r="F329" s="1" t="s">
        <v>2442</v>
      </c>
      <c r="G329" s="1">
        <v>270.09942000000001</v>
      </c>
      <c r="H329" s="2">
        <v>4230582.58983503</v>
      </c>
      <c r="I329" s="1" t="s">
        <v>17</v>
      </c>
      <c r="J329" s="1">
        <v>270.23689999999999</v>
      </c>
      <c r="K329" s="1">
        <v>269.09215</v>
      </c>
      <c r="L329" s="7">
        <f>G329-J329</f>
        <v>-0.13747999999998228</v>
      </c>
      <c r="M329" s="1" t="s">
        <v>24</v>
      </c>
      <c r="N329" s="2">
        <v>3796790.21474601</v>
      </c>
      <c r="O329" s="1">
        <v>3902348.02958783</v>
      </c>
      <c r="P329" s="1">
        <v>4230582.58983503</v>
      </c>
      <c r="Q329" s="1">
        <f>STDEV(N329:P329)</f>
        <v>226221.20571843901</v>
      </c>
      <c r="R329" s="1">
        <v>3976573.6113896235</v>
      </c>
      <c r="S329" s="1">
        <v>4.8765429915299174E-3</v>
      </c>
    </row>
    <row r="330" spans="1:19" x14ac:dyDescent="0.3">
      <c r="A330" s="1">
        <v>106</v>
      </c>
      <c r="B330" s="1" t="s">
        <v>2936</v>
      </c>
      <c r="C330" s="1" t="s">
        <v>2937</v>
      </c>
      <c r="D330" s="1">
        <v>0.68600000000000005</v>
      </c>
      <c r="E330" s="1" t="s">
        <v>2938</v>
      </c>
      <c r="F330" s="1" t="s">
        <v>2939</v>
      </c>
      <c r="G330" s="1">
        <v>246.16739000000001</v>
      </c>
      <c r="H330" s="2">
        <v>61247289.112307802</v>
      </c>
      <c r="I330" s="1" t="s">
        <v>23</v>
      </c>
      <c r="J330" s="1">
        <v>246.30492000000001</v>
      </c>
      <c r="K330" s="1">
        <v>247.17466999999999</v>
      </c>
      <c r="L330" s="7">
        <f>G330-J330</f>
        <v>-0.13752999999999815</v>
      </c>
      <c r="M330" s="1" t="s">
        <v>2940</v>
      </c>
      <c r="N330" s="2">
        <v>2001011.93974313</v>
      </c>
      <c r="O330" s="1">
        <v>1893354.58258999</v>
      </c>
      <c r="P330" s="1">
        <v>2375062.6415556599</v>
      </c>
      <c r="Q330" s="1">
        <f>STDEV(N330:P330)</f>
        <v>252832.84601626897</v>
      </c>
      <c r="R330" s="1">
        <v>2089809.7212962601</v>
      </c>
      <c r="S330" s="1">
        <v>2.5627708539908258E-3</v>
      </c>
    </row>
    <row r="331" spans="1:19" x14ac:dyDescent="0.3">
      <c r="A331" s="1">
        <v>300</v>
      </c>
      <c r="B331" s="1" t="s">
        <v>3506</v>
      </c>
      <c r="C331" s="1" t="s">
        <v>3507</v>
      </c>
      <c r="D331" s="1">
        <v>11.63</v>
      </c>
      <c r="E331" s="1" t="s">
        <v>3508</v>
      </c>
      <c r="F331" s="1" t="s">
        <v>3509</v>
      </c>
      <c r="G331" s="1">
        <v>207.08812</v>
      </c>
      <c r="H331" s="2">
        <v>1915505.4221099</v>
      </c>
      <c r="I331" s="1" t="s">
        <v>23</v>
      </c>
      <c r="J331" s="1">
        <v>207.22582</v>
      </c>
      <c r="K331" s="1">
        <v>208.09539000000001</v>
      </c>
      <c r="L331" s="7">
        <f>G331-J331</f>
        <v>-0.13769999999999527</v>
      </c>
      <c r="M331" s="1" t="s">
        <v>3510</v>
      </c>
      <c r="N331" s="2">
        <v>626072.91108970798</v>
      </c>
      <c r="O331" s="1">
        <v>1915505.4221099</v>
      </c>
      <c r="P331" s="1">
        <v>578854.88973459299</v>
      </c>
      <c r="Q331" s="1">
        <f>STDEV(N331:P331)</f>
        <v>758452.4142088854</v>
      </c>
      <c r="R331" s="1">
        <v>1040144.4076447338</v>
      </c>
      <c r="S331" s="1">
        <v>1.2755475987546055E-3</v>
      </c>
    </row>
    <row r="332" spans="1:19" x14ac:dyDescent="0.3">
      <c r="A332" s="1">
        <v>713</v>
      </c>
      <c r="B332" s="1" t="s">
        <v>4241</v>
      </c>
      <c r="C332" s="1" t="s">
        <v>4242</v>
      </c>
      <c r="D332" s="1">
        <v>11.603</v>
      </c>
      <c r="E332" s="1" t="s">
        <v>4243</v>
      </c>
      <c r="F332" s="1" t="s">
        <v>4244</v>
      </c>
      <c r="G332" s="1">
        <v>284.21179999999998</v>
      </c>
      <c r="H332" s="2">
        <v>4764064.9177823504</v>
      </c>
      <c r="I332" s="1" t="s">
        <v>23</v>
      </c>
      <c r="J332" s="1">
        <v>284.34960000000001</v>
      </c>
      <c r="K332" s="1">
        <v>285.21908000000002</v>
      </c>
      <c r="L332" s="7">
        <f>G332-J332</f>
        <v>-0.13780000000002701</v>
      </c>
      <c r="M332" s="1" t="s">
        <v>24</v>
      </c>
      <c r="N332" s="2">
        <v>412340.68227114301</v>
      </c>
      <c r="O332" s="1">
        <v>360824.81971476</v>
      </c>
      <c r="P332" s="1">
        <v>356832.26832552103</v>
      </c>
      <c r="Q332" s="1">
        <f>STDEV(N332:P332)</f>
        <v>30959.674256152364</v>
      </c>
      <c r="R332" s="1">
        <v>376665.92343714135</v>
      </c>
      <c r="S332" s="1">
        <v>4.6191212551039692E-4</v>
      </c>
    </row>
    <row r="333" spans="1:19" x14ac:dyDescent="0.3">
      <c r="A333" s="1">
        <v>65</v>
      </c>
      <c r="B333" s="1" t="s">
        <v>2652</v>
      </c>
      <c r="C333" s="1" t="s">
        <v>2653</v>
      </c>
      <c r="D333" s="1">
        <v>7.577</v>
      </c>
      <c r="E333" s="1" t="s">
        <v>2654</v>
      </c>
      <c r="F333" s="1" t="s">
        <v>2655</v>
      </c>
      <c r="G333" s="1">
        <v>186.11455000000001</v>
      </c>
      <c r="H333" s="2">
        <v>37655082.897179097</v>
      </c>
      <c r="I333" s="1" t="s">
        <v>23</v>
      </c>
      <c r="J333" s="1">
        <v>186.25296</v>
      </c>
      <c r="K333" s="1">
        <v>187.12182999999999</v>
      </c>
      <c r="L333" s="7">
        <f>G333-J333</f>
        <v>-0.13840999999999326</v>
      </c>
      <c r="M333" s="1" t="s">
        <v>24</v>
      </c>
      <c r="N333" s="2">
        <v>2218420.2910297699</v>
      </c>
      <c r="O333" s="1">
        <v>3017009.2384618102</v>
      </c>
      <c r="P333" s="1">
        <v>3217209.1746666199</v>
      </c>
      <c r="Q333" s="1">
        <f>STDEV(N333:P333)</f>
        <v>528425.89444083243</v>
      </c>
      <c r="R333" s="1">
        <v>2817546.2347193998</v>
      </c>
      <c r="S333" s="1">
        <v>3.4552070920751696E-3</v>
      </c>
    </row>
    <row r="334" spans="1:19" x14ac:dyDescent="0.3">
      <c r="A334" s="1">
        <v>303</v>
      </c>
      <c r="B334" s="1" t="s">
        <v>3497</v>
      </c>
      <c r="C334" s="1" t="s">
        <v>3498</v>
      </c>
      <c r="D334" s="1">
        <v>14.458</v>
      </c>
      <c r="E334" s="1" t="s">
        <v>3499</v>
      </c>
      <c r="F334" s="1" t="s">
        <v>3500</v>
      </c>
      <c r="G334" s="1">
        <v>569.46117000000004</v>
      </c>
      <c r="H334" s="2">
        <v>11044344.568161201</v>
      </c>
      <c r="I334" s="1" t="s">
        <v>23</v>
      </c>
      <c r="J334" s="1">
        <v>569.59960000000001</v>
      </c>
      <c r="K334" s="1">
        <v>570.46843999999999</v>
      </c>
      <c r="L334" s="7">
        <f>G334-J334</f>
        <v>-0.13842999999997119</v>
      </c>
      <c r="M334" s="1" t="s">
        <v>3501</v>
      </c>
      <c r="N334" s="2">
        <v>1119507.0885467201</v>
      </c>
      <c r="O334" s="1">
        <v>1091805.6329385601</v>
      </c>
      <c r="P334" s="1">
        <v>952160.62226579804</v>
      </c>
      <c r="Q334" s="1">
        <f>STDEV(N334:P334)</f>
        <v>89696.65492213043</v>
      </c>
      <c r="R334" s="1">
        <v>1054491.1145836927</v>
      </c>
      <c r="S334" s="1">
        <v>1.2931412208050887E-3</v>
      </c>
    </row>
    <row r="335" spans="1:19" x14ac:dyDescent="0.3">
      <c r="A335" s="1">
        <v>629</v>
      </c>
      <c r="B335" s="1" t="s">
        <v>3395</v>
      </c>
      <c r="C335" s="1" t="s">
        <v>3396</v>
      </c>
      <c r="D335" s="1">
        <v>0.35199999999999998</v>
      </c>
      <c r="E335" s="1" t="s">
        <v>3397</v>
      </c>
      <c r="F335" s="1" t="s">
        <v>3398</v>
      </c>
      <c r="G335" s="1">
        <v>354.21447999999998</v>
      </c>
      <c r="H335" s="2">
        <v>1697453.6889462201</v>
      </c>
      <c r="I335" s="1" t="s">
        <v>23</v>
      </c>
      <c r="J335" s="1">
        <v>354.35332</v>
      </c>
      <c r="K335" s="1">
        <v>355.22174999999999</v>
      </c>
      <c r="L335" s="7">
        <f>G335-J335</f>
        <v>-0.13884000000001606</v>
      </c>
      <c r="M335" s="1" t="s">
        <v>24</v>
      </c>
      <c r="N335" s="2">
        <v>549045.42043614597</v>
      </c>
      <c r="O335" s="1">
        <v>1198894.6766812999</v>
      </c>
      <c r="P335" s="1">
        <v>1697453.6889462201</v>
      </c>
      <c r="Q335" s="1">
        <f>STDEV(N335:P335)</f>
        <v>575862.6421487534</v>
      </c>
      <c r="R335" s="1">
        <v>1148464.5953545554</v>
      </c>
      <c r="S335" s="1">
        <v>1.4083825727393936E-3</v>
      </c>
    </row>
    <row r="336" spans="1:19" x14ac:dyDescent="0.3">
      <c r="A336" s="1">
        <v>934</v>
      </c>
      <c r="B336" s="1" t="s">
        <v>3744</v>
      </c>
      <c r="C336" s="1" t="s">
        <v>3745</v>
      </c>
      <c r="D336" s="1">
        <v>8.1259999999999994</v>
      </c>
      <c r="E336" s="1" t="s">
        <v>3746</v>
      </c>
      <c r="F336" s="1" t="s">
        <v>3747</v>
      </c>
      <c r="G336" s="1">
        <v>287.17162999999999</v>
      </c>
      <c r="H336" s="2">
        <v>1143383.6794696399</v>
      </c>
      <c r="I336" s="1" t="s">
        <v>17</v>
      </c>
      <c r="J336" s="1">
        <v>287.31047999999998</v>
      </c>
      <c r="K336" s="1">
        <v>286.16435999999999</v>
      </c>
      <c r="L336" s="7">
        <f>G336-J336</f>
        <v>-0.13884999999999081</v>
      </c>
      <c r="M336" s="1" t="s">
        <v>24</v>
      </c>
      <c r="N336" s="2">
        <v>336848.35937360802</v>
      </c>
      <c r="O336" s="1">
        <v>1143383.6794696399</v>
      </c>
      <c r="P336" s="1">
        <v>954132.69578144001</v>
      </c>
      <c r="Q336" s="1">
        <f>STDEV(N336:P336)</f>
        <v>421773.06484329089</v>
      </c>
      <c r="R336" s="1">
        <v>811454.91154156264</v>
      </c>
      <c r="S336" s="1">
        <v>9.9510159965018733E-4</v>
      </c>
    </row>
    <row r="337" spans="1:19" x14ac:dyDescent="0.3">
      <c r="A337" s="1">
        <v>80</v>
      </c>
      <c r="B337" s="1" t="s">
        <v>3118</v>
      </c>
      <c r="C337" s="1" t="s">
        <v>3119</v>
      </c>
      <c r="D337" s="1">
        <v>1.123</v>
      </c>
      <c r="E337" s="1" t="s">
        <v>3120</v>
      </c>
      <c r="F337" s="1" t="s">
        <v>3121</v>
      </c>
      <c r="G337" s="1">
        <v>246.16740999999999</v>
      </c>
      <c r="H337" s="2">
        <v>79818860.943313807</v>
      </c>
      <c r="I337" s="1" t="s">
        <v>23</v>
      </c>
      <c r="J337" s="1">
        <v>246.30645999999999</v>
      </c>
      <c r="K337" s="1">
        <v>247.17468</v>
      </c>
      <c r="L337" s="7">
        <f>G337-J337</f>
        <v>-0.13904999999999745</v>
      </c>
      <c r="M337" s="1" t="s">
        <v>2940</v>
      </c>
      <c r="N337" s="2">
        <v>1474147.2549436099</v>
      </c>
      <c r="O337" s="1">
        <v>1811525.3911155199</v>
      </c>
      <c r="P337" s="1">
        <v>1882262.54736997</v>
      </c>
      <c r="Q337" s="1">
        <f>STDEV(N337:P337)</f>
        <v>218092.42840061357</v>
      </c>
      <c r="R337" s="1">
        <v>1722645.0644763664</v>
      </c>
      <c r="S337" s="1">
        <v>2.1125103008291187E-3</v>
      </c>
    </row>
    <row r="338" spans="1:19" x14ac:dyDescent="0.3">
      <c r="A338" s="1">
        <v>435</v>
      </c>
      <c r="B338" s="1" t="s">
        <v>4480</v>
      </c>
      <c r="C338" s="1" t="s">
        <v>4481</v>
      </c>
      <c r="D338" s="1">
        <v>24.469000000000001</v>
      </c>
      <c r="E338" s="1" t="s">
        <v>4482</v>
      </c>
      <c r="F338" s="1" t="s">
        <v>4483</v>
      </c>
      <c r="G338" s="1">
        <v>265.16674999999998</v>
      </c>
      <c r="H338" s="2">
        <v>322852.30221775698</v>
      </c>
      <c r="I338" s="1" t="s">
        <v>17</v>
      </c>
      <c r="J338" s="1">
        <v>265.30650000000003</v>
      </c>
      <c r="K338" s="1">
        <v>264.15947</v>
      </c>
      <c r="L338" s="7">
        <f>G338-J338</f>
        <v>-0.13975000000004911</v>
      </c>
      <c r="M338" s="1" t="s">
        <v>24</v>
      </c>
      <c r="N338" s="2">
        <v>322852.30221775698</v>
      </c>
      <c r="O338" s="1">
        <v>123328.737495348</v>
      </c>
      <c r="P338" s="1">
        <v>132731.97425984099</v>
      </c>
      <c r="Q338" s="1">
        <f>STDEV(N338:P338)</f>
        <v>112578.72271142241</v>
      </c>
      <c r="R338" s="1">
        <v>192971.00465764865</v>
      </c>
      <c r="S338" s="1">
        <v>2.3664377735557569E-4</v>
      </c>
    </row>
    <row r="339" spans="1:19" x14ac:dyDescent="0.3">
      <c r="A339" s="1">
        <v>735</v>
      </c>
      <c r="B339" s="1" t="s">
        <v>3096</v>
      </c>
      <c r="C339" s="1" t="s">
        <v>3097</v>
      </c>
      <c r="D339" s="1">
        <v>8.4130000000000003</v>
      </c>
      <c r="E339" s="1" t="s">
        <v>3098</v>
      </c>
      <c r="F339" s="1" t="s">
        <v>3099</v>
      </c>
      <c r="G339" s="1">
        <v>168.09286</v>
      </c>
      <c r="H339" s="2">
        <v>2250164.0748244599</v>
      </c>
      <c r="I339" s="1" t="s">
        <v>344</v>
      </c>
      <c r="J339" s="1">
        <v>168.23284000000001</v>
      </c>
      <c r="K339" s="1">
        <v>201.12626</v>
      </c>
      <c r="L339" s="7">
        <f>G339-J339</f>
        <v>-0.13998000000000843</v>
      </c>
      <c r="M339" s="1" t="s">
        <v>24</v>
      </c>
      <c r="N339" s="2">
        <v>2105389.7043800899</v>
      </c>
      <c r="O339" s="1">
        <v>1830068.0598291799</v>
      </c>
      <c r="P339" s="1">
        <v>1344397.617021</v>
      </c>
      <c r="Q339" s="1">
        <f>STDEV(N339:P339)</f>
        <v>385310.85805248673</v>
      </c>
      <c r="R339" s="1">
        <v>1759951.7937434232</v>
      </c>
      <c r="S339" s="1">
        <v>2.1582602068846973E-3</v>
      </c>
    </row>
    <row r="340" spans="1:19" x14ac:dyDescent="0.3">
      <c r="A340" s="1">
        <v>471</v>
      </c>
      <c r="B340" s="1" t="s">
        <v>2162</v>
      </c>
      <c r="C340" s="1" t="s">
        <v>2163</v>
      </c>
      <c r="D340" s="1">
        <v>1.147</v>
      </c>
      <c r="E340" s="1" t="s">
        <v>2164</v>
      </c>
      <c r="F340" s="1" t="s">
        <v>2165</v>
      </c>
      <c r="G340" s="1">
        <v>226.13024999999999</v>
      </c>
      <c r="H340" s="2">
        <v>32878821.607475098</v>
      </c>
      <c r="I340" s="1" t="s">
        <v>156</v>
      </c>
      <c r="J340" s="1">
        <v>226.27046000000001</v>
      </c>
      <c r="K340" s="1">
        <v>209.12702999999999</v>
      </c>
      <c r="L340" s="7">
        <f>G340-J340</f>
        <v>-0.14021000000002459</v>
      </c>
      <c r="M340" s="1" t="s">
        <v>24</v>
      </c>
      <c r="N340" s="2">
        <v>8037380.5558265597</v>
      </c>
      <c r="O340" s="1">
        <v>6341817.3572474904</v>
      </c>
      <c r="P340" s="1">
        <v>3494592.86938377</v>
      </c>
      <c r="Q340" s="1">
        <f>STDEV(N340:P340)</f>
        <v>2295595.1228662073</v>
      </c>
      <c r="R340" s="1">
        <v>5957930.260819274</v>
      </c>
      <c r="S340" s="1">
        <v>7.3063159133295195E-3</v>
      </c>
    </row>
    <row r="341" spans="1:19" x14ac:dyDescent="0.3">
      <c r="A341" s="1">
        <v>571</v>
      </c>
      <c r="B341" s="1" t="s">
        <v>1267</v>
      </c>
      <c r="C341" s="1" t="s">
        <v>1268</v>
      </c>
      <c r="D341" s="1">
        <v>0.56499999999999995</v>
      </c>
      <c r="E341" s="1" t="s">
        <v>1269</v>
      </c>
      <c r="F341" s="1" t="s">
        <v>1270</v>
      </c>
      <c r="G341" s="1">
        <v>506.31884000000002</v>
      </c>
      <c r="H341" s="2">
        <v>130998864.33539601</v>
      </c>
      <c r="I341" s="1" t="s">
        <v>23</v>
      </c>
      <c r="J341" s="1">
        <v>506.45911999999998</v>
      </c>
      <c r="K341" s="1">
        <v>507.32611000000003</v>
      </c>
      <c r="L341" s="7">
        <f>G341-J341</f>
        <v>-0.14027999999996155</v>
      </c>
      <c r="M341" s="1" t="s">
        <v>1271</v>
      </c>
      <c r="N341" s="2">
        <v>4764723.6935151601</v>
      </c>
      <c r="O341" s="1">
        <v>24614777.176761001</v>
      </c>
      <c r="P341" s="1">
        <v>50956008.235416196</v>
      </c>
      <c r="Q341" s="1">
        <f>STDEV(N341:P341)</f>
        <v>23171533.701951504</v>
      </c>
      <c r="R341" s="1">
        <v>26778503.035230786</v>
      </c>
      <c r="S341" s="1">
        <v>3.2838954854524503E-2</v>
      </c>
    </row>
    <row r="342" spans="1:19" x14ac:dyDescent="0.3">
      <c r="A342" s="1">
        <v>321</v>
      </c>
      <c r="B342" s="1" t="s">
        <v>945</v>
      </c>
      <c r="C342" s="1" t="s">
        <v>946</v>
      </c>
      <c r="D342" s="1">
        <v>12.397</v>
      </c>
      <c r="E342" s="1" t="s">
        <v>947</v>
      </c>
      <c r="F342" s="1" t="s">
        <v>948</v>
      </c>
      <c r="G342" s="1">
        <v>232.18108000000001</v>
      </c>
      <c r="H342" s="2">
        <v>59691387.945481002</v>
      </c>
      <c r="I342" s="1" t="s">
        <v>23</v>
      </c>
      <c r="J342" s="1">
        <v>232.32140000000001</v>
      </c>
      <c r="K342" s="1">
        <v>233.18835999999999</v>
      </c>
      <c r="L342" s="7">
        <f>G342-J342</f>
        <v>-0.14032000000000266</v>
      </c>
      <c r="M342" s="1" t="s">
        <v>949</v>
      </c>
      <c r="N342" s="2">
        <v>52459149.635830298</v>
      </c>
      <c r="O342" s="1">
        <v>59691387.945481002</v>
      </c>
      <c r="P342" s="1">
        <v>21993653.2914938</v>
      </c>
      <c r="Q342" s="1">
        <f>STDEV(N342:P342)</f>
        <v>20006544.498058565</v>
      </c>
      <c r="R342" s="1">
        <v>44714730.290935032</v>
      </c>
      <c r="S342" s="1">
        <v>5.4834469552849666E-2</v>
      </c>
    </row>
    <row r="343" spans="1:19" x14ac:dyDescent="0.3">
      <c r="A343" s="1">
        <v>886</v>
      </c>
      <c r="B343" s="1" t="s">
        <v>3766</v>
      </c>
      <c r="C343" s="1" t="s">
        <v>3767</v>
      </c>
      <c r="D343" s="1">
        <v>4.1950000000000003</v>
      </c>
      <c r="E343" s="1" t="s">
        <v>3768</v>
      </c>
      <c r="F343" s="1" t="s">
        <v>3769</v>
      </c>
      <c r="G343" s="1">
        <v>302.09510999999998</v>
      </c>
      <c r="H343" s="2">
        <v>1362246.07509839</v>
      </c>
      <c r="I343" s="1" t="s">
        <v>23</v>
      </c>
      <c r="J343" s="1">
        <v>302.23570000000001</v>
      </c>
      <c r="K343" s="1">
        <v>303.10239000000001</v>
      </c>
      <c r="L343" s="7">
        <f>G343-J343</f>
        <v>-0.14059000000003152</v>
      </c>
      <c r="M343" s="1" t="s">
        <v>3770</v>
      </c>
      <c r="N343" s="2">
        <v>1362246.07509839</v>
      </c>
      <c r="O343" s="1">
        <v>517696.20853002998</v>
      </c>
      <c r="P343" s="1">
        <v>496234.94472900202</v>
      </c>
      <c r="Q343" s="1">
        <f>STDEV(N343:P343)</f>
        <v>493913.00531035452</v>
      </c>
      <c r="R343" s="1">
        <v>792059.07611914072</v>
      </c>
      <c r="S343" s="1">
        <v>9.7131614148007522E-4</v>
      </c>
    </row>
    <row r="344" spans="1:19" x14ac:dyDescent="0.3">
      <c r="A344" s="1">
        <v>742</v>
      </c>
      <c r="B344" s="1" t="s">
        <v>4000</v>
      </c>
      <c r="C344" s="1" t="s">
        <v>4001</v>
      </c>
      <c r="D344" s="1">
        <v>21.446000000000002</v>
      </c>
      <c r="E344" s="1" t="s">
        <v>4002</v>
      </c>
      <c r="F344" s="1" t="s">
        <v>4003</v>
      </c>
      <c r="G344" s="1">
        <v>152.09253000000001</v>
      </c>
      <c r="H344" s="2">
        <v>739302.29502971994</v>
      </c>
      <c r="I344" s="1" t="s">
        <v>23</v>
      </c>
      <c r="J344" s="1">
        <v>152.23344</v>
      </c>
      <c r="K344" s="1">
        <v>153.09972999999999</v>
      </c>
      <c r="L344" s="7">
        <f>G344-J344</f>
        <v>-0.14090999999999099</v>
      </c>
      <c r="M344" s="1" t="s">
        <v>24</v>
      </c>
      <c r="N344" s="2">
        <v>358006.21866188099</v>
      </c>
      <c r="O344" s="1">
        <v>739302.29502971994</v>
      </c>
      <c r="P344" s="1">
        <v>716704.96897046303</v>
      </c>
      <c r="Q344" s="1">
        <f>STDEV(N344:P344)</f>
        <v>213916.70126144716</v>
      </c>
      <c r="R344" s="1">
        <v>604671.16088735464</v>
      </c>
      <c r="S344" s="1">
        <v>7.4151900605080368E-4</v>
      </c>
    </row>
    <row r="345" spans="1:19" x14ac:dyDescent="0.3">
      <c r="A345" s="1">
        <v>887</v>
      </c>
      <c r="B345" s="1" t="s">
        <v>3050</v>
      </c>
      <c r="C345" s="1" t="s">
        <v>3051</v>
      </c>
      <c r="D345" s="1">
        <v>10.311</v>
      </c>
      <c r="E345" s="1" t="s">
        <v>3052</v>
      </c>
      <c r="F345" s="1" t="s">
        <v>3053</v>
      </c>
      <c r="G345" s="1">
        <v>464.23532999999998</v>
      </c>
      <c r="H345" s="2">
        <v>26891113.915995199</v>
      </c>
      <c r="I345" s="1" t="s">
        <v>344</v>
      </c>
      <c r="J345" s="1">
        <v>464.37630000000001</v>
      </c>
      <c r="K345" s="1">
        <v>497.26864999999998</v>
      </c>
      <c r="L345" s="7">
        <f>G345-J345</f>
        <v>-0.14097000000003845</v>
      </c>
      <c r="M345" s="1" t="s">
        <v>3054</v>
      </c>
      <c r="N345" s="2">
        <v>1815649.99423707</v>
      </c>
      <c r="O345" s="1">
        <v>1820622.72134737</v>
      </c>
      <c r="P345" s="1">
        <v>1870815.5465484001</v>
      </c>
      <c r="Q345" s="1">
        <f>STDEV(N345:P345)</f>
        <v>30515.804316203034</v>
      </c>
      <c r="R345" s="1">
        <v>1835696.0873776134</v>
      </c>
      <c r="S345" s="1">
        <v>2.25114678220478E-3</v>
      </c>
    </row>
    <row r="346" spans="1:19" x14ac:dyDescent="0.3">
      <c r="A346" s="1">
        <v>564</v>
      </c>
      <c r="B346" s="1" t="s">
        <v>2546</v>
      </c>
      <c r="C346" s="1" t="s">
        <v>2547</v>
      </c>
      <c r="D346" s="1">
        <v>9.7230000000000008</v>
      </c>
      <c r="E346" s="1" t="s">
        <v>2548</v>
      </c>
      <c r="F346" s="1" t="s">
        <v>2549</v>
      </c>
      <c r="G346" s="1">
        <v>336.15233000000001</v>
      </c>
      <c r="H346" s="2">
        <v>59688059.927913703</v>
      </c>
      <c r="I346" s="1" t="s">
        <v>23</v>
      </c>
      <c r="J346" s="1">
        <v>336.29343999999998</v>
      </c>
      <c r="K346" s="1">
        <v>337.15960999999999</v>
      </c>
      <c r="L346" s="7">
        <f>G346-J346</f>
        <v>-0.1411099999999692</v>
      </c>
      <c r="M346" s="1" t="s">
        <v>2550</v>
      </c>
      <c r="N346" s="2">
        <v>5068425.1870575203</v>
      </c>
      <c r="O346" s="1">
        <v>2324623.2018499798</v>
      </c>
      <c r="P346" s="1">
        <v>2299612.8875898202</v>
      </c>
      <c r="Q346" s="1">
        <f>STDEV(N346:P346)</f>
        <v>1591403.8037495834</v>
      </c>
      <c r="R346" s="1">
        <v>3230887.0921657733</v>
      </c>
      <c r="S346" s="1">
        <v>3.9620943418722876E-3</v>
      </c>
    </row>
    <row r="347" spans="1:19" x14ac:dyDescent="0.3">
      <c r="A347" s="1">
        <v>658</v>
      </c>
      <c r="B347" s="1" t="s">
        <v>326</v>
      </c>
      <c r="C347" s="1" t="s">
        <v>327</v>
      </c>
      <c r="D347" s="1">
        <v>11.833</v>
      </c>
      <c r="E347" s="1" t="s">
        <v>328</v>
      </c>
      <c r="F347" s="1" t="s">
        <v>329</v>
      </c>
      <c r="G347" s="1">
        <v>430.26317</v>
      </c>
      <c r="H347" s="2">
        <v>227319649.86870301</v>
      </c>
      <c r="I347" s="1" t="s">
        <v>17</v>
      </c>
      <c r="J347" s="1">
        <v>430.40467999999998</v>
      </c>
      <c r="K347" s="1">
        <v>429.25589000000002</v>
      </c>
      <c r="L347" s="7">
        <f>G347-J347</f>
        <v>-0.14150999999998248</v>
      </c>
      <c r="M347" s="1" t="s">
        <v>330</v>
      </c>
      <c r="N347" s="2">
        <v>227319649.86870301</v>
      </c>
      <c r="O347" s="1">
        <v>185716657.88796499</v>
      </c>
      <c r="P347" s="1">
        <v>92245422.063597798</v>
      </c>
      <c r="Q347" s="1">
        <f>STDEV(N347:P347)</f>
        <v>69176980.619072586</v>
      </c>
      <c r="R347" s="1">
        <v>168427243.27342191</v>
      </c>
      <c r="S347" s="1">
        <v>0.20654532595982544</v>
      </c>
    </row>
    <row r="348" spans="1:19" x14ac:dyDescent="0.3">
      <c r="A348" s="1">
        <v>507</v>
      </c>
      <c r="B348" s="1" t="s">
        <v>3753</v>
      </c>
      <c r="C348" s="1" t="s">
        <v>3754</v>
      </c>
      <c r="D348" s="1">
        <v>14.504</v>
      </c>
      <c r="E348" s="1" t="s">
        <v>3755</v>
      </c>
      <c r="F348" s="1" t="s">
        <v>3756</v>
      </c>
      <c r="G348" s="1">
        <v>286.13781</v>
      </c>
      <c r="H348" s="2">
        <v>14099219.2363456</v>
      </c>
      <c r="I348" s="1" t="s">
        <v>23</v>
      </c>
      <c r="J348" s="1">
        <v>286.27936</v>
      </c>
      <c r="K348" s="1">
        <v>287.14508999999998</v>
      </c>
      <c r="L348" s="7">
        <f>G348-J348</f>
        <v>-0.14154999999999518</v>
      </c>
      <c r="M348" s="1" t="s">
        <v>24</v>
      </c>
      <c r="N348" s="2">
        <v>465590.65134915698</v>
      </c>
      <c r="O348" s="1">
        <v>1179559.8573904301</v>
      </c>
      <c r="P348" s="1">
        <v>775369.73537573696</v>
      </c>
      <c r="Q348" s="1">
        <f>STDEV(N348:P348)</f>
        <v>358023.45426191622</v>
      </c>
      <c r="R348" s="1">
        <v>806840.08137177455</v>
      </c>
      <c r="S348" s="1">
        <v>9.8944235128191251E-4</v>
      </c>
    </row>
    <row r="349" spans="1:19" x14ac:dyDescent="0.3">
      <c r="A349" s="1">
        <v>444</v>
      </c>
      <c r="B349" s="1" t="s">
        <v>1024</v>
      </c>
      <c r="C349" s="1" t="s">
        <v>1025</v>
      </c>
      <c r="D349" s="1">
        <v>12.875999999999999</v>
      </c>
      <c r="E349" s="1" t="s">
        <v>1026</v>
      </c>
      <c r="F349" s="1" t="s">
        <v>1027</v>
      </c>
      <c r="G349" s="1">
        <v>322.21280999999999</v>
      </c>
      <c r="H349" s="2">
        <v>4123018288.5700598</v>
      </c>
      <c r="I349" s="1" t="s">
        <v>17</v>
      </c>
      <c r="J349" s="1">
        <v>322.35451999999998</v>
      </c>
      <c r="K349" s="1">
        <v>321.20553999999998</v>
      </c>
      <c r="L349" s="7">
        <f>G349-J349</f>
        <v>-0.14170999999998912</v>
      </c>
      <c r="M349" s="1" t="s">
        <v>165</v>
      </c>
      <c r="N349" s="2">
        <v>48330858.5195489</v>
      </c>
      <c r="O349" s="1">
        <v>63921008.389222503</v>
      </c>
      <c r="P349" s="1">
        <v>8604413.9454774</v>
      </c>
      <c r="Q349" s="1">
        <f>STDEV(N349:P349)</f>
        <v>28522414.55507531</v>
      </c>
      <c r="R349" s="1">
        <v>40285426.951416261</v>
      </c>
      <c r="S349" s="1">
        <v>4.9402736038392667E-2</v>
      </c>
    </row>
    <row r="350" spans="1:19" x14ac:dyDescent="0.3">
      <c r="A350" s="1">
        <v>628</v>
      </c>
      <c r="B350" s="1" t="s">
        <v>2772</v>
      </c>
      <c r="C350" s="1" t="s">
        <v>2773</v>
      </c>
      <c r="D350" s="1">
        <v>8.7720000000000002</v>
      </c>
      <c r="E350" s="1" t="s">
        <v>2774</v>
      </c>
      <c r="F350" s="1" t="s">
        <v>2775</v>
      </c>
      <c r="G350" s="1">
        <v>354.25371999999999</v>
      </c>
      <c r="H350" s="2">
        <v>3142317.5412812098</v>
      </c>
      <c r="I350" s="1" t="s">
        <v>23</v>
      </c>
      <c r="J350" s="1">
        <v>354.39638000000002</v>
      </c>
      <c r="K350" s="1">
        <v>355.26100000000002</v>
      </c>
      <c r="L350" s="7">
        <f>G350-J350</f>
        <v>-0.14266000000003487</v>
      </c>
      <c r="M350" s="1" t="s">
        <v>24</v>
      </c>
      <c r="N350" s="2">
        <v>2031835.10692288</v>
      </c>
      <c r="O350" s="1">
        <v>3142317.5412812098</v>
      </c>
      <c r="P350" s="1">
        <v>2356866.81574276</v>
      </c>
      <c r="Q350" s="1">
        <f>STDEV(N350:P350)</f>
        <v>570927.56268573634</v>
      </c>
      <c r="R350" s="1">
        <v>2510339.8213156168</v>
      </c>
      <c r="S350" s="1">
        <v>3.0784743999035932E-3</v>
      </c>
    </row>
    <row r="351" spans="1:19" x14ac:dyDescent="0.3">
      <c r="A351" s="1">
        <v>1000</v>
      </c>
      <c r="B351" s="1" t="s">
        <v>3477</v>
      </c>
      <c r="C351" s="1" t="s">
        <v>3478</v>
      </c>
      <c r="D351" s="1">
        <v>14.348000000000001</v>
      </c>
      <c r="E351" s="1" t="s">
        <v>3479</v>
      </c>
      <c r="F351" s="1" t="s">
        <v>3480</v>
      </c>
      <c r="G351" s="1">
        <v>510.38807000000003</v>
      </c>
      <c r="H351" s="2">
        <v>128461539.27079201</v>
      </c>
      <c r="I351" s="1" t="s">
        <v>398</v>
      </c>
      <c r="J351" s="1">
        <v>510.53086000000002</v>
      </c>
      <c r="K351" s="1">
        <v>528.42193999999995</v>
      </c>
      <c r="L351" s="7">
        <f>G351-J351</f>
        <v>-0.14278999999999087</v>
      </c>
      <c r="M351" s="1" t="s">
        <v>3481</v>
      </c>
      <c r="N351" s="2">
        <v>1108167.4146919399</v>
      </c>
      <c r="O351" s="1">
        <v>1180889.0381950799</v>
      </c>
      <c r="P351" s="1">
        <v>953798.25305089704</v>
      </c>
      <c r="Q351" s="1">
        <f>STDEV(N351:P351)</f>
        <v>115965.86946748046</v>
      </c>
      <c r="R351" s="1">
        <v>1080951.5686459725</v>
      </c>
      <c r="S351" s="1">
        <v>1.3255901465437016E-3</v>
      </c>
    </row>
    <row r="352" spans="1:19" x14ac:dyDescent="0.3">
      <c r="A352" s="1">
        <v>685</v>
      </c>
      <c r="B352" s="1" t="s">
        <v>447</v>
      </c>
      <c r="C352" s="1" t="s">
        <v>448</v>
      </c>
      <c r="D352" s="1">
        <v>1.1739999999999999</v>
      </c>
      <c r="E352" s="1" t="s">
        <v>449</v>
      </c>
      <c r="F352" s="1" t="s">
        <v>450</v>
      </c>
      <c r="G352" s="1">
        <v>446.26123000000001</v>
      </c>
      <c r="H352" s="2">
        <v>271297264.71328998</v>
      </c>
      <c r="I352" s="1" t="s">
        <v>23</v>
      </c>
      <c r="J352" s="1">
        <v>446.40408000000002</v>
      </c>
      <c r="K352" s="1">
        <v>447.26850999999999</v>
      </c>
      <c r="L352" s="7">
        <f>G352-J352</f>
        <v>-0.14285000000000991</v>
      </c>
      <c r="M352" s="1" t="s">
        <v>451</v>
      </c>
      <c r="N352" s="2">
        <v>3131651.20538523</v>
      </c>
      <c r="O352" s="1">
        <v>74003125.3061416</v>
      </c>
      <c r="P352" s="1">
        <v>271297264.71328998</v>
      </c>
      <c r="Q352" s="1">
        <f>STDEV(N352:P352)</f>
        <v>138960749.58640444</v>
      </c>
      <c r="R352" s="1">
        <v>116144013.74160559</v>
      </c>
      <c r="S352" s="1">
        <v>0.14242947108977516</v>
      </c>
    </row>
    <row r="353" spans="1:19" x14ac:dyDescent="0.3">
      <c r="A353" s="1">
        <v>607</v>
      </c>
      <c r="B353" s="1" t="s">
        <v>4412</v>
      </c>
      <c r="C353" s="1" t="s">
        <v>4413</v>
      </c>
      <c r="D353" s="1">
        <v>10.887</v>
      </c>
      <c r="E353" s="1" t="s">
        <v>4414</v>
      </c>
      <c r="F353" s="1" t="s">
        <v>4415</v>
      </c>
      <c r="G353" s="1">
        <v>190.00924000000001</v>
      </c>
      <c r="H353" s="2">
        <v>76016549.301851705</v>
      </c>
      <c r="I353" s="1" t="s">
        <v>17</v>
      </c>
      <c r="J353" s="1">
        <v>190.15224000000001</v>
      </c>
      <c r="K353" s="1">
        <v>189.00196</v>
      </c>
      <c r="L353" s="7">
        <f>G353-J353</f>
        <v>-0.14300000000000068</v>
      </c>
      <c r="M353" s="1" t="s">
        <v>4416</v>
      </c>
      <c r="N353" s="2">
        <v>274128.32797588099</v>
      </c>
      <c r="O353" s="1">
        <v>239858.636174277</v>
      </c>
      <c r="P353" s="1">
        <v>201817.86666440501</v>
      </c>
      <c r="Q353" s="1">
        <f>STDEV(N353:P353)</f>
        <v>36171.615796916951</v>
      </c>
      <c r="R353" s="1">
        <v>238601.610271521</v>
      </c>
      <c r="S353" s="1">
        <v>2.9260140111696123E-4</v>
      </c>
    </row>
    <row r="354" spans="1:19" x14ac:dyDescent="0.3">
      <c r="A354" s="1">
        <v>21</v>
      </c>
      <c r="B354" s="1" t="s">
        <v>1654</v>
      </c>
      <c r="C354" s="1" t="s">
        <v>1655</v>
      </c>
      <c r="D354" s="1">
        <v>9.1630000000000003</v>
      </c>
      <c r="E354" s="1" t="s">
        <v>1656</v>
      </c>
      <c r="F354" s="1" t="s">
        <v>1657</v>
      </c>
      <c r="G354" s="1">
        <v>348.16768999999999</v>
      </c>
      <c r="H354" s="2">
        <v>23837321.203090999</v>
      </c>
      <c r="I354" s="1" t="s">
        <v>1658</v>
      </c>
      <c r="J354" s="1">
        <v>348.31074000000001</v>
      </c>
      <c r="K354" s="1">
        <v>407.18203999999997</v>
      </c>
      <c r="L354" s="7">
        <f>G354-J354</f>
        <v>-0.14305000000001655</v>
      </c>
      <c r="M354" s="1" t="s">
        <v>1659</v>
      </c>
      <c r="N354" s="2">
        <v>10604942.324784201</v>
      </c>
      <c r="O354" s="1">
        <v>12969098.7813408</v>
      </c>
      <c r="P354" s="1">
        <v>12835184.236819999</v>
      </c>
      <c r="Q354" s="1">
        <f>STDEV(N354:P354)</f>
        <v>1327977.6505720748</v>
      </c>
      <c r="R354" s="1">
        <v>12136408.447648333</v>
      </c>
      <c r="S354" s="1">
        <v>1.4883093673460773E-2</v>
      </c>
    </row>
    <row r="355" spans="1:19" x14ac:dyDescent="0.3">
      <c r="A355" s="1">
        <v>562</v>
      </c>
      <c r="B355" s="1" t="s">
        <v>1798</v>
      </c>
      <c r="C355" s="1" t="s">
        <v>1799</v>
      </c>
      <c r="D355" s="1">
        <v>0.68600000000000005</v>
      </c>
      <c r="E355" s="1" t="s">
        <v>1800</v>
      </c>
      <c r="F355" s="1" t="s">
        <v>1801</v>
      </c>
      <c r="G355" s="1">
        <v>270.09363999999999</v>
      </c>
      <c r="H355" s="2">
        <v>33684521.223278403</v>
      </c>
      <c r="I355" s="1" t="s">
        <v>17</v>
      </c>
      <c r="J355" s="1">
        <v>270.23689999999999</v>
      </c>
      <c r="K355" s="1">
        <v>269.08636000000001</v>
      </c>
      <c r="L355" s="7">
        <f>G355-J355</f>
        <v>-0.14325999999999794</v>
      </c>
      <c r="M355" s="1" t="s">
        <v>1802</v>
      </c>
      <c r="N355" s="2">
        <v>6875810.2644389598</v>
      </c>
      <c r="O355" s="1">
        <v>9913480.9135829303</v>
      </c>
      <c r="P355" s="1">
        <v>11933212.8484491</v>
      </c>
      <c r="Q355" s="1">
        <f>STDEV(N355:P355)</f>
        <v>2545718.0047464506</v>
      </c>
      <c r="R355" s="1">
        <v>9574168.008823663</v>
      </c>
      <c r="S355" s="1">
        <v>1.1740972622620067E-2</v>
      </c>
    </row>
    <row r="356" spans="1:19" x14ac:dyDescent="0.3">
      <c r="A356" s="1">
        <v>117</v>
      </c>
      <c r="B356" s="1" t="s">
        <v>3391</v>
      </c>
      <c r="C356" s="1" t="s">
        <v>3392</v>
      </c>
      <c r="D356" s="1">
        <v>15.753</v>
      </c>
      <c r="E356" s="1" t="s">
        <v>3393</v>
      </c>
      <c r="F356" s="1" t="s">
        <v>3394</v>
      </c>
      <c r="G356" s="1">
        <v>398.35169999999999</v>
      </c>
      <c r="H356" s="2">
        <v>127650152.490399</v>
      </c>
      <c r="I356" s="1" t="s">
        <v>23</v>
      </c>
      <c r="J356" s="1">
        <v>398.49529999999999</v>
      </c>
      <c r="K356" s="1">
        <v>399.35897999999997</v>
      </c>
      <c r="L356" s="7">
        <f>G356-J356</f>
        <v>-0.14359999999999218</v>
      </c>
      <c r="M356" s="1" t="s">
        <v>3154</v>
      </c>
      <c r="N356" s="2">
        <v>990257.80141722702</v>
      </c>
      <c r="O356" s="1">
        <v>1189610.0532712501</v>
      </c>
      <c r="P356" s="1">
        <v>1278322.76644064</v>
      </c>
      <c r="Q356" s="1">
        <f>STDEV(N356:P356)</f>
        <v>147531.17742310491</v>
      </c>
      <c r="R356" s="1">
        <v>1152730.2070430389</v>
      </c>
      <c r="S356" s="1">
        <v>1.413613568268933E-3</v>
      </c>
    </row>
    <row r="357" spans="1:19" x14ac:dyDescent="0.3">
      <c r="A357" s="1">
        <v>474</v>
      </c>
      <c r="B357" s="1" t="s">
        <v>3640</v>
      </c>
      <c r="C357" s="1" t="s">
        <v>3641</v>
      </c>
      <c r="D357" s="1">
        <v>20.663</v>
      </c>
      <c r="E357" s="1" t="s">
        <v>3642</v>
      </c>
      <c r="F357" s="1" t="s">
        <v>3643</v>
      </c>
      <c r="G357" s="1">
        <v>588.37032999999997</v>
      </c>
      <c r="H357" s="2">
        <v>130598728.17880499</v>
      </c>
      <c r="I357" s="1" t="s">
        <v>17</v>
      </c>
      <c r="J357" s="1">
        <v>588.51505999999995</v>
      </c>
      <c r="K357" s="1">
        <v>587.36305000000004</v>
      </c>
      <c r="L357" s="7">
        <f>G357-J357</f>
        <v>-0.14472999999998137</v>
      </c>
      <c r="M357" s="1" t="s">
        <v>3644</v>
      </c>
      <c r="N357" s="2">
        <v>930998.69697235595</v>
      </c>
      <c r="O357" s="1">
        <v>1212620.1574091699</v>
      </c>
      <c r="P357" s="1">
        <v>524431.15615153406</v>
      </c>
      <c r="Q357" s="1">
        <f>STDEV(N357:P357)</f>
        <v>345979.74740333098</v>
      </c>
      <c r="R357" s="1">
        <v>889350.00351101998</v>
      </c>
      <c r="S357" s="1">
        <v>1.0906257372469996E-3</v>
      </c>
    </row>
    <row r="358" spans="1:19" x14ac:dyDescent="0.3">
      <c r="A358" s="1">
        <v>87</v>
      </c>
      <c r="B358" s="1" t="s">
        <v>200</v>
      </c>
      <c r="C358" s="1" t="s">
        <v>201</v>
      </c>
      <c r="D358" s="1">
        <v>24.65</v>
      </c>
      <c r="E358" s="1" t="s">
        <v>202</v>
      </c>
      <c r="F358" s="1" t="s">
        <v>203</v>
      </c>
      <c r="G358" s="1">
        <v>325.25941999999998</v>
      </c>
      <c r="H358" s="2">
        <v>360531037.86622298</v>
      </c>
      <c r="I358" s="1" t="s">
        <v>23</v>
      </c>
      <c r="J358" s="1">
        <v>325.40481999999997</v>
      </c>
      <c r="K358" s="1">
        <v>326.26668999999998</v>
      </c>
      <c r="L358" s="7">
        <f>G358-J358</f>
        <v>-0.14539999999999509</v>
      </c>
      <c r="M358" s="1" t="s">
        <v>204</v>
      </c>
      <c r="N358" s="2">
        <v>294661564.72798401</v>
      </c>
      <c r="O358" s="1">
        <v>360531037.86622298</v>
      </c>
      <c r="P358" s="1">
        <v>310082219.772762</v>
      </c>
      <c r="Q358" s="1">
        <f>STDEV(N358:P358)</f>
        <v>34452061.719985969</v>
      </c>
      <c r="R358" s="1">
        <v>321758274.12232304</v>
      </c>
      <c r="S358" s="1">
        <v>0.39457789795312292</v>
      </c>
    </row>
    <row r="359" spans="1:19" x14ac:dyDescent="0.3">
      <c r="A359" s="1">
        <v>894</v>
      </c>
      <c r="B359" s="1" t="s">
        <v>384</v>
      </c>
      <c r="C359" s="1" t="s">
        <v>385</v>
      </c>
      <c r="D359" s="1">
        <v>7.665</v>
      </c>
      <c r="E359" s="1" t="s">
        <v>386</v>
      </c>
      <c r="F359" s="1" t="s">
        <v>387</v>
      </c>
      <c r="G359" s="1">
        <v>136.08824999999999</v>
      </c>
      <c r="H359" s="2">
        <v>230392082.21234301</v>
      </c>
      <c r="I359" s="1" t="s">
        <v>156</v>
      </c>
      <c r="J359" s="1">
        <v>136.23403999999999</v>
      </c>
      <c r="K359" s="1">
        <v>119.08511</v>
      </c>
      <c r="L359" s="7">
        <f>G359-J359</f>
        <v>-0.14579000000000519</v>
      </c>
      <c r="M359" s="1" t="s">
        <v>388</v>
      </c>
      <c r="N359" s="2">
        <v>89752008.695867196</v>
      </c>
      <c r="O359" s="1">
        <v>230392082.21234301</v>
      </c>
      <c r="P359" s="1">
        <v>115335187.857841</v>
      </c>
      <c r="Q359" s="1">
        <f>STDEV(N359:P359)</f>
        <v>74913526.007497922</v>
      </c>
      <c r="R359" s="1">
        <v>145159759.58868375</v>
      </c>
      <c r="S359" s="1">
        <v>0.17801199662112976</v>
      </c>
    </row>
    <row r="360" spans="1:19" x14ac:dyDescent="0.3">
      <c r="A360" s="1">
        <v>989</v>
      </c>
      <c r="B360" s="1" t="s">
        <v>1763</v>
      </c>
      <c r="C360" s="1" t="s">
        <v>1764</v>
      </c>
      <c r="D360" s="1">
        <v>12.109</v>
      </c>
      <c r="E360" s="1"/>
      <c r="F360" s="1" t="s">
        <v>1765</v>
      </c>
      <c r="G360" s="1">
        <v>378.27406999999999</v>
      </c>
      <c r="H360" s="2">
        <v>14392021.694232</v>
      </c>
      <c r="I360" s="1" t="s">
        <v>156</v>
      </c>
      <c r="J360" s="1">
        <v>378.42</v>
      </c>
      <c r="K360" s="1">
        <v>361.2706</v>
      </c>
      <c r="L360" s="7">
        <f>G360-J360</f>
        <v>-0.14593000000002121</v>
      </c>
      <c r="M360" s="1" t="s">
        <v>1766</v>
      </c>
      <c r="N360" s="2">
        <v>14392021.694232</v>
      </c>
      <c r="O360" s="1">
        <v>12039317.6573392</v>
      </c>
      <c r="P360" s="1">
        <v>3379313.07129307</v>
      </c>
      <c r="Q360" s="1">
        <f>STDEV(N360:P360)</f>
        <v>5799578.2451442834</v>
      </c>
      <c r="R360" s="1">
        <v>9936884.1409547571</v>
      </c>
      <c r="S360" s="1">
        <v>1.2185777870784608E-2</v>
      </c>
    </row>
    <row r="361" spans="1:19" x14ac:dyDescent="0.3">
      <c r="A361" s="1">
        <v>18</v>
      </c>
      <c r="B361" s="1" t="s">
        <v>543</v>
      </c>
      <c r="C361" s="1" t="s">
        <v>544</v>
      </c>
      <c r="D361" s="1">
        <v>0.58599999999999997</v>
      </c>
      <c r="E361" s="1" t="s">
        <v>545</v>
      </c>
      <c r="F361" s="1" t="s">
        <v>546</v>
      </c>
      <c r="G361" s="1">
        <v>346.18860999999998</v>
      </c>
      <c r="H361" s="2">
        <v>201798830.60499001</v>
      </c>
      <c r="I361" s="1" t="s">
        <v>23</v>
      </c>
      <c r="J361" s="1">
        <v>346.33461999999997</v>
      </c>
      <c r="K361" s="1">
        <v>347.19589000000002</v>
      </c>
      <c r="L361" s="7">
        <f>G361-J361</f>
        <v>-0.14600999999998976</v>
      </c>
      <c r="M361" s="1" t="s">
        <v>547</v>
      </c>
      <c r="N361" s="2">
        <v>5359677.3817243902</v>
      </c>
      <c r="O361" s="1">
        <v>83475806.704256102</v>
      </c>
      <c r="P361" s="1">
        <v>201798830.60499001</v>
      </c>
      <c r="Q361" s="1">
        <f>STDEV(N361:P361)</f>
        <v>98902989.982121512</v>
      </c>
      <c r="R361" s="1">
        <v>96878104.896990165</v>
      </c>
      <c r="S361" s="1">
        <v>0.11880334419435673</v>
      </c>
    </row>
    <row r="362" spans="1:19" x14ac:dyDescent="0.3">
      <c r="A362" s="1">
        <v>746</v>
      </c>
      <c r="B362" s="1" t="s">
        <v>1440</v>
      </c>
      <c r="C362" s="1" t="s">
        <v>1441</v>
      </c>
      <c r="D362" s="1">
        <v>6.7000000000000004E-2</v>
      </c>
      <c r="E362" s="1" t="s">
        <v>1442</v>
      </c>
      <c r="F362" s="1" t="s">
        <v>1443</v>
      </c>
      <c r="G362" s="1">
        <v>136.08799999999999</v>
      </c>
      <c r="H362" s="2">
        <v>20305555.3389327</v>
      </c>
      <c r="I362" s="1" t="s">
        <v>23</v>
      </c>
      <c r="J362" s="1">
        <v>136.23403999999999</v>
      </c>
      <c r="K362" s="1">
        <v>137.09530000000001</v>
      </c>
      <c r="L362" s="7">
        <f>G362-J362</f>
        <v>-0.14603999999999928</v>
      </c>
      <c r="M362" s="1" t="s">
        <v>24</v>
      </c>
      <c r="N362" s="2">
        <v>12816009.148865299</v>
      </c>
      <c r="O362" s="1">
        <v>18880401.228833701</v>
      </c>
      <c r="P362" s="1">
        <v>20305555.3389327</v>
      </c>
      <c r="Q362" s="1">
        <f>STDEV(N362:P362)</f>
        <v>3977042.8224638766</v>
      </c>
      <c r="R362" s="1">
        <v>17333988.572210569</v>
      </c>
      <c r="S362" s="1">
        <v>2.1256978682593516E-2</v>
      </c>
    </row>
    <row r="363" spans="1:19" x14ac:dyDescent="0.3">
      <c r="A363" s="1">
        <v>752</v>
      </c>
      <c r="B363" s="1" t="s">
        <v>2247</v>
      </c>
      <c r="C363" s="1" t="s">
        <v>2248</v>
      </c>
      <c r="D363" s="1">
        <v>2.7909999999999999</v>
      </c>
      <c r="E363" s="1" t="s">
        <v>2249</v>
      </c>
      <c r="F363" s="1" t="s">
        <v>2250</v>
      </c>
      <c r="G363" s="1">
        <v>150.07123000000001</v>
      </c>
      <c r="H363" s="2">
        <v>7640449.6414447902</v>
      </c>
      <c r="I363" s="1" t="s">
        <v>23</v>
      </c>
      <c r="J363" s="1">
        <v>150.21755999999999</v>
      </c>
      <c r="K363" s="1">
        <v>151.07850999999999</v>
      </c>
      <c r="L363" s="7">
        <f>G363-J363</f>
        <v>-0.14632999999997764</v>
      </c>
      <c r="M363" s="1" t="s">
        <v>24</v>
      </c>
      <c r="N363" s="2">
        <v>2162260.16686538</v>
      </c>
      <c r="O363" s="1">
        <v>5730445.6283380603</v>
      </c>
      <c r="P363" s="1">
        <v>7640449.6414447902</v>
      </c>
      <c r="Q363" s="1">
        <f>STDEV(N363:P363)</f>
        <v>2780606.1310723075</v>
      </c>
      <c r="R363" s="1">
        <v>5177718.478882744</v>
      </c>
      <c r="S363" s="1">
        <v>6.3495283195542651E-3</v>
      </c>
    </row>
    <row r="364" spans="1:19" x14ac:dyDescent="0.3">
      <c r="A364" s="1">
        <v>1</v>
      </c>
      <c r="B364" s="1" t="s">
        <v>268</v>
      </c>
      <c r="C364" s="1" t="s">
        <v>269</v>
      </c>
      <c r="D364" s="1">
        <v>13.2</v>
      </c>
      <c r="E364" s="1" t="s">
        <v>270</v>
      </c>
      <c r="F364" s="1" t="s">
        <v>271</v>
      </c>
      <c r="G364" s="1">
        <v>726.44646</v>
      </c>
      <c r="H364" s="2">
        <v>6582196694.8240299</v>
      </c>
      <c r="I364" s="1" t="s">
        <v>23</v>
      </c>
      <c r="J364" s="1">
        <v>726.59295999999995</v>
      </c>
      <c r="K364" s="1">
        <v>727.45374000000004</v>
      </c>
      <c r="L364" s="7">
        <f>G364-J364</f>
        <v>-0.14649999999994634</v>
      </c>
      <c r="M364" s="1" t="s">
        <v>272</v>
      </c>
      <c r="N364" s="2">
        <v>179251218.73942399</v>
      </c>
      <c r="O364" s="1">
        <v>156351477.87751999</v>
      </c>
      <c r="P364" s="1">
        <v>310354332.22863698</v>
      </c>
      <c r="Q364" s="1">
        <f>STDEV(N364:P364)</f>
        <v>83095631.29952462</v>
      </c>
      <c r="R364" s="1">
        <v>215319009.61519364</v>
      </c>
      <c r="S364" s="1">
        <v>0.26404953356696598</v>
      </c>
    </row>
    <row r="365" spans="1:19" x14ac:dyDescent="0.3">
      <c r="A365" s="1">
        <v>977</v>
      </c>
      <c r="B365" s="1" t="s">
        <v>2675</v>
      </c>
      <c r="C365" s="1" t="s">
        <v>2676</v>
      </c>
      <c r="D365" s="1">
        <v>22.364999999999998</v>
      </c>
      <c r="E365" s="1"/>
      <c r="F365" s="1" t="s">
        <v>2677</v>
      </c>
      <c r="G365" s="1">
        <v>394.26884000000001</v>
      </c>
      <c r="H365" s="2">
        <v>2928770.9838185902</v>
      </c>
      <c r="I365" s="1" t="s">
        <v>23</v>
      </c>
      <c r="J365" s="1">
        <v>394.41564</v>
      </c>
      <c r="K365" s="1">
        <v>395.27611000000002</v>
      </c>
      <c r="L365" s="7">
        <f>G365-J365</f>
        <v>-0.14679999999998472</v>
      </c>
      <c r="M365" s="1" t="s">
        <v>24</v>
      </c>
      <c r="N365" s="2">
        <v>2690359.0163907502</v>
      </c>
      <c r="O365" s="1">
        <v>2743911.85428394</v>
      </c>
      <c r="P365" s="1">
        <v>2928770.9838185902</v>
      </c>
      <c r="Q365" s="1">
        <f>STDEV(N365:P365)</f>
        <v>125087.34976776312</v>
      </c>
      <c r="R365" s="1">
        <v>2787680.6181644271</v>
      </c>
      <c r="S365" s="1">
        <v>3.4185823549694036E-3</v>
      </c>
    </row>
    <row r="366" spans="1:19" x14ac:dyDescent="0.3">
      <c r="A366" s="1">
        <v>672</v>
      </c>
      <c r="B366" s="1" t="s">
        <v>3167</v>
      </c>
      <c r="C366" s="1" t="s">
        <v>3168</v>
      </c>
      <c r="D366" s="1">
        <v>11.1</v>
      </c>
      <c r="E366" s="1" t="s">
        <v>3169</v>
      </c>
      <c r="F366" s="1" t="s">
        <v>3170</v>
      </c>
      <c r="G366" s="1">
        <v>416.23099999999999</v>
      </c>
      <c r="H366" s="2">
        <v>2914362.8788148598</v>
      </c>
      <c r="I366" s="1" t="s">
        <v>23</v>
      </c>
      <c r="J366" s="1">
        <v>416.37810000000002</v>
      </c>
      <c r="K366" s="1">
        <v>417.23827999999997</v>
      </c>
      <c r="L366" s="7">
        <f>G366-J366</f>
        <v>-0.1471000000000231</v>
      </c>
      <c r="M366" s="1" t="s">
        <v>24</v>
      </c>
      <c r="N366" s="2">
        <v>1484111.1732186901</v>
      </c>
      <c r="O366" s="1">
        <v>2055979.8083236399</v>
      </c>
      <c r="P366" s="1">
        <v>1319714.6190962701</v>
      </c>
      <c r="Q366" s="1">
        <f>STDEV(N366:P366)</f>
        <v>386468.28065015882</v>
      </c>
      <c r="R366" s="1">
        <v>1619935.2002128668</v>
      </c>
      <c r="S366" s="1">
        <v>1.9865553663346129E-3</v>
      </c>
    </row>
    <row r="367" spans="1:19" x14ac:dyDescent="0.3">
      <c r="A367" s="1">
        <v>654</v>
      </c>
      <c r="B367" s="1" t="s">
        <v>4599</v>
      </c>
      <c r="C367" s="1" t="s">
        <v>4600</v>
      </c>
      <c r="D367" s="1">
        <v>18.873999999999999</v>
      </c>
      <c r="E367" s="1" t="s">
        <v>4601</v>
      </c>
      <c r="F367" s="1" t="s">
        <v>4602</v>
      </c>
      <c r="G367" s="1">
        <v>284.11635999999999</v>
      </c>
      <c r="H367" s="2">
        <v>149863.56529461101</v>
      </c>
      <c r="I367" s="1" t="s">
        <v>17</v>
      </c>
      <c r="J367" s="1">
        <v>284.26348000000002</v>
      </c>
      <c r="K367" s="1">
        <v>283.10908000000001</v>
      </c>
      <c r="L367" s="7">
        <f>G367-J367</f>
        <v>-0.14712000000002945</v>
      </c>
      <c r="M367" s="1" t="s">
        <v>4603</v>
      </c>
      <c r="N367" s="2">
        <v>11835.6597363688</v>
      </c>
      <c r="O367" s="1">
        <v>73142.636995775203</v>
      </c>
      <c r="P367" s="1">
        <v>55489.346978382899</v>
      </c>
      <c r="Q367" s="1">
        <f>STDEV(N367:P367)</f>
        <v>31559.014874113556</v>
      </c>
      <c r="R367" s="1">
        <v>46822.547903508967</v>
      </c>
      <c r="S367" s="1">
        <v>5.7419323804404378E-5</v>
      </c>
    </row>
    <row r="368" spans="1:19" x14ac:dyDescent="0.3">
      <c r="A368" s="1">
        <v>930</v>
      </c>
      <c r="B368" s="1" t="s">
        <v>2587</v>
      </c>
      <c r="C368" s="1" t="s">
        <v>2588</v>
      </c>
      <c r="D368" s="1">
        <v>11.153</v>
      </c>
      <c r="E368" s="1" t="s">
        <v>2589</v>
      </c>
      <c r="F368" s="1" t="s">
        <v>2590</v>
      </c>
      <c r="G368" s="1">
        <v>315.17338999999998</v>
      </c>
      <c r="H368" s="2">
        <v>4509124.6031157104</v>
      </c>
      <c r="I368" s="1" t="s">
        <v>23</v>
      </c>
      <c r="J368" s="1">
        <v>315.32058000000001</v>
      </c>
      <c r="K368" s="1">
        <v>316.18065999999999</v>
      </c>
      <c r="L368" s="7">
        <f>G368-J368</f>
        <v>-0.14719000000002325</v>
      </c>
      <c r="M368" s="1" t="s">
        <v>24</v>
      </c>
      <c r="N368" s="2">
        <v>1697876.46732966</v>
      </c>
      <c r="O368" s="1">
        <v>2643418.9871521899</v>
      </c>
      <c r="P368" s="1">
        <v>4509124.6031157104</v>
      </c>
      <c r="Q368" s="1">
        <f>STDEV(N368:P368)</f>
        <v>1430502.4864938625</v>
      </c>
      <c r="R368" s="1">
        <v>2950140.0191991865</v>
      </c>
      <c r="S368" s="1">
        <v>3.6178092097810654E-3</v>
      </c>
    </row>
    <row r="369" spans="1:19" x14ac:dyDescent="0.3">
      <c r="A369" s="1">
        <v>631</v>
      </c>
      <c r="B369" s="1" t="s">
        <v>1077</v>
      </c>
      <c r="C369" s="1" t="s">
        <v>1078</v>
      </c>
      <c r="D369" s="1">
        <v>9.5980000000000008</v>
      </c>
      <c r="E369" s="1" t="s">
        <v>1079</v>
      </c>
      <c r="F369" s="1" t="s">
        <v>1080</v>
      </c>
      <c r="G369" s="1">
        <v>416.23048</v>
      </c>
      <c r="H369" s="2">
        <v>42853497.739176199</v>
      </c>
      <c r="I369" s="1" t="s">
        <v>23</v>
      </c>
      <c r="J369" s="1">
        <v>416.37810000000002</v>
      </c>
      <c r="K369" s="1">
        <v>417.23775999999998</v>
      </c>
      <c r="L369" s="7">
        <f>G369-J369</f>
        <v>-0.14762000000001763</v>
      </c>
      <c r="M369" s="1" t="s">
        <v>24</v>
      </c>
      <c r="N369" s="2">
        <v>33048153.649945501</v>
      </c>
      <c r="O369" s="1">
        <v>27451658.526914801</v>
      </c>
      <c r="P369" s="1">
        <v>42853497.739176199</v>
      </c>
      <c r="Q369" s="1">
        <f>STDEV(N369:P369)</f>
        <v>7796176.215413441</v>
      </c>
      <c r="R369" s="1">
        <v>34451103.305345498</v>
      </c>
      <c r="S369" s="1">
        <v>4.2248001116581106E-2</v>
      </c>
    </row>
    <row r="370" spans="1:19" x14ac:dyDescent="0.3">
      <c r="A370" s="1">
        <v>673</v>
      </c>
      <c r="B370" s="1" t="s">
        <v>1786</v>
      </c>
      <c r="C370" s="1" t="s">
        <v>1787</v>
      </c>
      <c r="D370" s="1">
        <v>23.792999999999999</v>
      </c>
      <c r="E370" s="1" t="s">
        <v>1788</v>
      </c>
      <c r="F370" s="1" t="s">
        <v>1789</v>
      </c>
      <c r="G370" s="1">
        <v>394.26911999999999</v>
      </c>
      <c r="H370" s="2">
        <v>24945164.960187301</v>
      </c>
      <c r="I370" s="1" t="s">
        <v>23</v>
      </c>
      <c r="J370" s="1">
        <v>394.41717999999997</v>
      </c>
      <c r="K370" s="1">
        <v>395.27640000000002</v>
      </c>
      <c r="L370" s="7">
        <f>G370-J370</f>
        <v>-0.14805999999998676</v>
      </c>
      <c r="M370" s="1" t="s">
        <v>24</v>
      </c>
      <c r="N370" s="2">
        <v>1434514.14642846</v>
      </c>
      <c r="O370" s="1">
        <v>24945164.960187301</v>
      </c>
      <c r="P370" s="1">
        <v>2574284.3448484698</v>
      </c>
      <c r="Q370" s="1">
        <f>STDEV(N370:P370)</f>
        <v>13257111.785110209</v>
      </c>
      <c r="R370" s="1">
        <v>9651321.1504880767</v>
      </c>
      <c r="S370" s="1">
        <v>1.1835586893353166E-2</v>
      </c>
    </row>
    <row r="371" spans="1:19" x14ac:dyDescent="0.3">
      <c r="A371" s="1">
        <v>122</v>
      </c>
      <c r="B371" s="1" t="s">
        <v>1205</v>
      </c>
      <c r="C371" s="1" t="s">
        <v>1206</v>
      </c>
      <c r="D371" s="1">
        <v>0.60899999999999999</v>
      </c>
      <c r="E371" s="1" t="s">
        <v>1207</v>
      </c>
      <c r="F371" s="1" t="s">
        <v>1208</v>
      </c>
      <c r="G371" s="1">
        <v>264.13028000000003</v>
      </c>
      <c r="H371" s="2">
        <v>45964090.123361699</v>
      </c>
      <c r="I371" s="1" t="s">
        <v>1209</v>
      </c>
      <c r="J371" s="1">
        <v>264.27868000000001</v>
      </c>
      <c r="K371" s="1">
        <v>248.11107000000001</v>
      </c>
      <c r="L371" s="7">
        <f>G371-J371</f>
        <v>-0.14839999999998099</v>
      </c>
      <c r="M371" s="1" t="s">
        <v>1210</v>
      </c>
      <c r="N371" s="2">
        <v>36436166.2041739</v>
      </c>
      <c r="O371" s="1">
        <v>3939239.0561234099</v>
      </c>
      <c r="P371" s="1">
        <v>45964090.123361699</v>
      </c>
      <c r="Q371" s="1">
        <f>STDEV(N371:P371)</f>
        <v>22033760.896629717</v>
      </c>
      <c r="R371" s="1">
        <v>28779831.794553</v>
      </c>
      <c r="S371" s="1">
        <v>3.5293219930133027E-2</v>
      </c>
    </row>
    <row r="372" spans="1:19" x14ac:dyDescent="0.3">
      <c r="A372" s="1">
        <v>517</v>
      </c>
      <c r="B372" s="1" t="s">
        <v>3903</v>
      </c>
      <c r="C372" s="1" t="s">
        <v>3904</v>
      </c>
      <c r="D372" s="1">
        <v>8.4149999999999991</v>
      </c>
      <c r="E372" s="1" t="s">
        <v>3905</v>
      </c>
      <c r="F372" s="1" t="s">
        <v>3906</v>
      </c>
      <c r="G372" s="1">
        <v>346.13956999999999</v>
      </c>
      <c r="H372" s="2">
        <v>25103324.376328502</v>
      </c>
      <c r="I372" s="1" t="s">
        <v>17</v>
      </c>
      <c r="J372" s="1">
        <v>346.28825999999998</v>
      </c>
      <c r="K372" s="1">
        <v>345.13229000000001</v>
      </c>
      <c r="L372" s="7">
        <f>G372-J372</f>
        <v>-0.14868999999998778</v>
      </c>
      <c r="M372" s="1" t="s">
        <v>3907</v>
      </c>
      <c r="N372" s="2">
        <v>588671.59763779398</v>
      </c>
      <c r="O372" s="1">
        <v>704770.27165471599</v>
      </c>
      <c r="P372" s="1">
        <v>705709.91259135201</v>
      </c>
      <c r="Q372" s="1">
        <f>STDEV(N372:P372)</f>
        <v>67302.491534793342</v>
      </c>
      <c r="R372" s="1">
        <v>666383.92729462066</v>
      </c>
      <c r="S372" s="1">
        <v>8.1719846981058821E-4</v>
      </c>
    </row>
    <row r="373" spans="1:19" x14ac:dyDescent="0.3">
      <c r="A373" s="1">
        <v>501</v>
      </c>
      <c r="B373" s="1" t="s">
        <v>1150</v>
      </c>
      <c r="C373" s="1" t="s">
        <v>1151</v>
      </c>
      <c r="D373" s="1">
        <v>12.552</v>
      </c>
      <c r="E373" s="1" t="s">
        <v>1152</v>
      </c>
      <c r="F373" s="1" t="s">
        <v>1153</v>
      </c>
      <c r="G373" s="1">
        <v>538.30748000000006</v>
      </c>
      <c r="H373" s="2">
        <v>46468051.280363299</v>
      </c>
      <c r="I373" s="1" t="s">
        <v>1154</v>
      </c>
      <c r="J373" s="1">
        <v>538.45637999999997</v>
      </c>
      <c r="K373" s="1">
        <v>580.34113000000002</v>
      </c>
      <c r="L373" s="7">
        <f>G373-J373</f>
        <v>-0.14889999999991232</v>
      </c>
      <c r="M373" s="1" t="s">
        <v>24</v>
      </c>
      <c r="N373" s="2">
        <v>43213545.535311103</v>
      </c>
      <c r="O373" s="1">
        <v>46468051.280363299</v>
      </c>
      <c r="P373" s="1">
        <v>3647688.8812245498</v>
      </c>
      <c r="Q373" s="1">
        <f>STDEV(N373:P373)</f>
        <v>23838457.222206727</v>
      </c>
      <c r="R373" s="1">
        <v>31109761.898966312</v>
      </c>
      <c r="S373" s="1">
        <v>3.8150454683411196E-2</v>
      </c>
    </row>
    <row r="374" spans="1:19" x14ac:dyDescent="0.3">
      <c r="A374" s="1">
        <v>488</v>
      </c>
      <c r="B374" s="1" t="s">
        <v>3203</v>
      </c>
      <c r="C374" s="1" t="s">
        <v>3204</v>
      </c>
      <c r="D374" s="1">
        <v>5.8630000000000004</v>
      </c>
      <c r="E374" s="1" t="s">
        <v>3205</v>
      </c>
      <c r="F374" s="1" t="s">
        <v>3206</v>
      </c>
      <c r="G374" s="1">
        <v>286.12984999999998</v>
      </c>
      <c r="H374" s="2">
        <v>6366161.3117980203</v>
      </c>
      <c r="I374" s="1" t="s">
        <v>23</v>
      </c>
      <c r="J374" s="1">
        <v>286.27936</v>
      </c>
      <c r="K374" s="1">
        <v>287.13713000000001</v>
      </c>
      <c r="L374" s="7">
        <f>G374-J374</f>
        <v>-0.14951000000002068</v>
      </c>
      <c r="M374" s="1" t="s">
        <v>24</v>
      </c>
      <c r="N374" s="2">
        <v>1214565.9347453599</v>
      </c>
      <c r="O374" s="1">
        <v>1501492.73309678</v>
      </c>
      <c r="P374" s="1">
        <v>1815758.3025585101</v>
      </c>
      <c r="Q374" s="1">
        <f>STDEV(N374:P374)</f>
        <v>300699.76689883578</v>
      </c>
      <c r="R374" s="1">
        <v>1510605.6568002168</v>
      </c>
      <c r="S374" s="1">
        <v>1.8524826014877395E-3</v>
      </c>
    </row>
    <row r="375" spans="1:19" x14ac:dyDescent="0.3">
      <c r="A375" s="1">
        <v>513</v>
      </c>
      <c r="B375" s="1" t="s">
        <v>4237</v>
      </c>
      <c r="C375" s="1" t="s">
        <v>4238</v>
      </c>
      <c r="D375" s="1">
        <v>3.1749999999999998</v>
      </c>
      <c r="E375" s="1" t="s">
        <v>4239</v>
      </c>
      <c r="F375" s="1" t="s">
        <v>4240</v>
      </c>
      <c r="G375" s="1">
        <v>284.11342000000002</v>
      </c>
      <c r="H375" s="2">
        <v>416735.92713798402</v>
      </c>
      <c r="I375" s="1" t="s">
        <v>23</v>
      </c>
      <c r="J375" s="1">
        <v>284.26348000000002</v>
      </c>
      <c r="K375" s="1">
        <v>285.12069000000002</v>
      </c>
      <c r="L375" s="7">
        <f>G375-J375</f>
        <v>-0.15005999999999631</v>
      </c>
      <c r="M375" s="1" t="s">
        <v>24</v>
      </c>
      <c r="N375" s="2">
        <v>314994.97756935202</v>
      </c>
      <c r="O375" s="1">
        <v>403453.591728103</v>
      </c>
      <c r="P375" s="1">
        <v>416735.92713798402</v>
      </c>
      <c r="Q375" s="1">
        <f>STDEV(N375:P375)</f>
        <v>55306.069094259969</v>
      </c>
      <c r="R375" s="1">
        <v>378394.83214514633</v>
      </c>
      <c r="S375" s="1">
        <v>4.6403231702876052E-4</v>
      </c>
    </row>
    <row r="376" spans="1:19" x14ac:dyDescent="0.3">
      <c r="A376" s="1">
        <v>596</v>
      </c>
      <c r="B376" s="1" t="s">
        <v>1329</v>
      </c>
      <c r="C376" s="1" t="s">
        <v>1330</v>
      </c>
      <c r="D376" s="1">
        <v>0.85399999999999998</v>
      </c>
      <c r="E376" s="1" t="s">
        <v>1331</v>
      </c>
      <c r="F376" s="1" t="s">
        <v>1332</v>
      </c>
      <c r="G376" s="1">
        <v>332.15618000000001</v>
      </c>
      <c r="H376" s="2">
        <v>34208381.618349403</v>
      </c>
      <c r="I376" s="1" t="s">
        <v>23</v>
      </c>
      <c r="J376" s="1">
        <v>332.30628000000002</v>
      </c>
      <c r="K376" s="1">
        <v>333.16345000000001</v>
      </c>
      <c r="L376" s="7">
        <f>G376-J376</f>
        <v>-0.150100000000009</v>
      </c>
      <c r="M376" s="1" t="s">
        <v>1333</v>
      </c>
      <c r="N376" s="2">
        <v>6910746.8667159304</v>
      </c>
      <c r="O376" s="1">
        <v>34208381.618349403</v>
      </c>
      <c r="P376" s="1">
        <v>28684472.981033299</v>
      </c>
      <c r="Q376" s="1">
        <f>STDEV(N376:P376)</f>
        <v>14432426.329671135</v>
      </c>
      <c r="R376" s="1">
        <v>23267867.155366212</v>
      </c>
      <c r="S376" s="1">
        <v>2.8533799595551565E-2</v>
      </c>
    </row>
    <row r="377" spans="1:19" x14ac:dyDescent="0.3">
      <c r="A377" s="1">
        <v>929</v>
      </c>
      <c r="B377" s="1" t="s">
        <v>2272</v>
      </c>
      <c r="C377" s="1" t="s">
        <v>2273</v>
      </c>
      <c r="D377" s="1">
        <v>1.1879999999999999</v>
      </c>
      <c r="E377" s="1" t="s">
        <v>2274</v>
      </c>
      <c r="F377" s="1" t="s">
        <v>2275</v>
      </c>
      <c r="G377" s="1">
        <v>301.18684999999999</v>
      </c>
      <c r="H377" s="2">
        <v>25815151.958300699</v>
      </c>
      <c r="I377" s="1" t="s">
        <v>23</v>
      </c>
      <c r="J377" s="1">
        <v>301.33706000000001</v>
      </c>
      <c r="K377" s="1">
        <v>302.19412</v>
      </c>
      <c r="L377" s="7">
        <f>G377-J377</f>
        <v>-0.1502100000000155</v>
      </c>
      <c r="M377" s="1" t="s">
        <v>2020</v>
      </c>
      <c r="N377" s="2">
        <v>1988369.50904323</v>
      </c>
      <c r="O377" s="1">
        <v>6715227.8945665704</v>
      </c>
      <c r="P377" s="1">
        <v>6183371.43934754</v>
      </c>
      <c r="Q377" s="1">
        <f>STDEV(N377:P377)</f>
        <v>2589211.6780018639</v>
      </c>
      <c r="R377" s="1">
        <v>4962322.947652447</v>
      </c>
      <c r="S377" s="1">
        <v>6.0853849461688266E-3</v>
      </c>
    </row>
    <row r="378" spans="1:19" x14ac:dyDescent="0.3">
      <c r="A378" s="1">
        <v>741</v>
      </c>
      <c r="B378" s="1" t="s">
        <v>1191</v>
      </c>
      <c r="C378" s="1" t="s">
        <v>1192</v>
      </c>
      <c r="D378" s="1">
        <v>0.40799999999999997</v>
      </c>
      <c r="E378" s="1" t="s">
        <v>1193</v>
      </c>
      <c r="F378" s="1" t="s">
        <v>1194</v>
      </c>
      <c r="G378" s="1">
        <v>150.06716</v>
      </c>
      <c r="H378" s="2">
        <v>56251894.833494298</v>
      </c>
      <c r="I378" s="1" t="s">
        <v>23</v>
      </c>
      <c r="J378" s="1">
        <v>150.21755999999999</v>
      </c>
      <c r="K378" s="1">
        <v>151.07445999999999</v>
      </c>
      <c r="L378" s="7">
        <f>G378-J378</f>
        <v>-0.15039999999999054</v>
      </c>
      <c r="M378" s="1" t="s">
        <v>24</v>
      </c>
      <c r="N378" s="2">
        <v>6886981.1568914903</v>
      </c>
      <c r="O378" s="1">
        <v>56251894.833494298</v>
      </c>
      <c r="P378" s="1">
        <v>26157993.687656</v>
      </c>
      <c r="Q378" s="1">
        <f>STDEV(N378:P378)</f>
        <v>24879407.523876775</v>
      </c>
      <c r="R378" s="1">
        <v>29765623.226013929</v>
      </c>
      <c r="S378" s="1">
        <v>3.6502113506862548E-2</v>
      </c>
    </row>
    <row r="379" spans="1:19" x14ac:dyDescent="0.3">
      <c r="A379" s="1">
        <v>259</v>
      </c>
      <c r="B379" s="1" t="s">
        <v>2961</v>
      </c>
      <c r="C379" s="1" t="s">
        <v>2962</v>
      </c>
      <c r="D379" s="1">
        <v>24.77</v>
      </c>
      <c r="E379" s="1" t="s">
        <v>2963</v>
      </c>
      <c r="F379" s="1" t="s">
        <v>2964</v>
      </c>
      <c r="G379" s="1">
        <v>311.26704999999998</v>
      </c>
      <c r="H379" s="2">
        <v>4180419.30026381</v>
      </c>
      <c r="I379" s="1" t="s">
        <v>23</v>
      </c>
      <c r="J379" s="1">
        <v>311.41800000000001</v>
      </c>
      <c r="K379" s="1">
        <v>312.27431999999999</v>
      </c>
      <c r="L379" s="7">
        <f>G379-J379</f>
        <v>-0.15095000000002301</v>
      </c>
      <c r="M379" s="1" t="s">
        <v>24</v>
      </c>
      <c r="N379" s="2">
        <v>615156.58282405999</v>
      </c>
      <c r="O379" s="1">
        <v>1341189.34805209</v>
      </c>
      <c r="P379" s="1">
        <v>4180419.30026381</v>
      </c>
      <c r="Q379" s="1">
        <f>STDEV(N379:P379)</f>
        <v>1884119.9776945692</v>
      </c>
      <c r="R379" s="1">
        <v>2045588.4103799865</v>
      </c>
      <c r="S379" s="1">
        <v>2.5085414733986076E-3</v>
      </c>
    </row>
    <row r="380" spans="1:19" x14ac:dyDescent="0.3">
      <c r="A380" s="1">
        <v>348</v>
      </c>
      <c r="B380" s="1" t="s">
        <v>351</v>
      </c>
      <c r="C380" s="1" t="s">
        <v>352</v>
      </c>
      <c r="D380" s="1">
        <v>0.1</v>
      </c>
      <c r="E380" s="1" t="s">
        <v>353</v>
      </c>
      <c r="F380" s="1" t="s">
        <v>354</v>
      </c>
      <c r="G380" s="1">
        <v>244.18104</v>
      </c>
      <c r="H380" s="2">
        <v>216146933.39329299</v>
      </c>
      <c r="I380" s="1" t="s">
        <v>23</v>
      </c>
      <c r="J380" s="1">
        <v>244.3321</v>
      </c>
      <c r="K380" s="1">
        <v>245.18831</v>
      </c>
      <c r="L380" s="7">
        <f>G380-J380</f>
        <v>-0.15106000000000108</v>
      </c>
      <c r="M380" s="1" t="s">
        <v>24</v>
      </c>
      <c r="N380" s="2">
        <v>15841296.962052001</v>
      </c>
      <c r="O380" s="1">
        <v>216146933.39329299</v>
      </c>
      <c r="P380" s="1">
        <v>214157397.22081101</v>
      </c>
      <c r="Q380" s="1">
        <f>STDEV(N380:P380)</f>
        <v>115076483.16239385</v>
      </c>
      <c r="R380" s="1">
        <v>148715209.19205201</v>
      </c>
      <c r="S380" s="1">
        <v>0.18237210774679416</v>
      </c>
    </row>
    <row r="381" spans="1:19" x14ac:dyDescent="0.3">
      <c r="A381" s="1">
        <v>347</v>
      </c>
      <c r="B381" s="1" t="s">
        <v>1874</v>
      </c>
      <c r="C381" s="1" t="s">
        <v>1875</v>
      </c>
      <c r="D381" s="1">
        <v>11.778</v>
      </c>
      <c r="E381" s="1" t="s">
        <v>1876</v>
      </c>
      <c r="F381" s="1" t="s">
        <v>1877</v>
      </c>
      <c r="G381" s="1">
        <v>244.18079</v>
      </c>
      <c r="H381" s="2">
        <v>9583502.8263786007</v>
      </c>
      <c r="I381" s="1" t="s">
        <v>23</v>
      </c>
      <c r="J381" s="1">
        <v>244.3321</v>
      </c>
      <c r="K381" s="1">
        <v>245.18807000000001</v>
      </c>
      <c r="L381" s="7">
        <f>G381-J381</f>
        <v>-0.15130999999999517</v>
      </c>
      <c r="M381" s="1" t="s">
        <v>24</v>
      </c>
      <c r="N381" s="2">
        <v>7759891.4887893898</v>
      </c>
      <c r="O381" s="1">
        <v>9583502.8263786007</v>
      </c>
      <c r="P381" s="1">
        <v>8582534.1989334095</v>
      </c>
      <c r="Q381" s="1">
        <f>STDEV(N381:P381)</f>
        <v>913257.67925108981</v>
      </c>
      <c r="R381" s="1">
        <v>8641976.171367133</v>
      </c>
      <c r="S381" s="1">
        <v>1.0597809181940926E-2</v>
      </c>
    </row>
    <row r="382" spans="1:19" x14ac:dyDescent="0.3">
      <c r="A382" s="1">
        <v>485</v>
      </c>
      <c r="B382" s="1" t="s">
        <v>3021</v>
      </c>
      <c r="C382" s="1" t="s">
        <v>3022</v>
      </c>
      <c r="D382" s="1">
        <v>2.1669999999999998</v>
      </c>
      <c r="E382" s="1" t="s">
        <v>3023</v>
      </c>
      <c r="F382" s="1" t="s">
        <v>3024</v>
      </c>
      <c r="G382" s="1">
        <v>272.10115000000002</v>
      </c>
      <c r="H382" s="2">
        <v>2859668.6427614801</v>
      </c>
      <c r="I382" s="1" t="s">
        <v>17</v>
      </c>
      <c r="J382" s="1">
        <v>272.25277999999997</v>
      </c>
      <c r="K382" s="1">
        <v>271.09386999999998</v>
      </c>
      <c r="L382" s="7">
        <f>G382-J382</f>
        <v>-0.15162999999995463</v>
      </c>
      <c r="M382" s="1" t="s">
        <v>3025</v>
      </c>
      <c r="N382" s="2">
        <v>1082058.6424253299</v>
      </c>
      <c r="O382" s="1">
        <v>1733457.4370356901</v>
      </c>
      <c r="P382" s="1">
        <v>2859668.6427614801</v>
      </c>
      <c r="Q382" s="1">
        <f>STDEV(N382:P382)</f>
        <v>899311.71670499048</v>
      </c>
      <c r="R382" s="1">
        <v>1891728.2407408331</v>
      </c>
      <c r="S382" s="1">
        <v>2.3198600090896335E-3</v>
      </c>
    </row>
    <row r="383" spans="1:19" x14ac:dyDescent="0.3">
      <c r="A383" s="1">
        <v>710</v>
      </c>
      <c r="B383" s="1" t="s">
        <v>1169</v>
      </c>
      <c r="C383" s="1" t="s">
        <v>1170</v>
      </c>
      <c r="D383" s="1">
        <v>11.113</v>
      </c>
      <c r="E383" s="1" t="s">
        <v>1171</v>
      </c>
      <c r="F383" s="1" t="s">
        <v>1172</v>
      </c>
      <c r="G383" s="1">
        <v>302.29906</v>
      </c>
      <c r="H383" s="2">
        <v>65899267.7050106</v>
      </c>
      <c r="I383" s="1" t="s">
        <v>23</v>
      </c>
      <c r="J383" s="1">
        <v>302.45100000000002</v>
      </c>
      <c r="K383" s="1">
        <v>303.30633999999998</v>
      </c>
      <c r="L383" s="7">
        <f>G383-J383</f>
        <v>-0.15194000000002461</v>
      </c>
      <c r="M383" s="1" t="s">
        <v>24</v>
      </c>
      <c r="N383" s="2">
        <v>65899267.7050106</v>
      </c>
      <c r="O383" s="1">
        <v>20175834.4768419</v>
      </c>
      <c r="P383" s="1">
        <v>5875078.39973241</v>
      </c>
      <c r="Q383" s="1">
        <f>STDEV(N383:P383)</f>
        <v>31352956.458957355</v>
      </c>
      <c r="R383" s="1">
        <v>30650060.193861637</v>
      </c>
      <c r="S383" s="1">
        <v>3.7586714301037341E-2</v>
      </c>
    </row>
    <row r="384" spans="1:19" x14ac:dyDescent="0.3">
      <c r="A384" s="1">
        <v>736</v>
      </c>
      <c r="B384" s="1" t="s">
        <v>4317</v>
      </c>
      <c r="C384" s="1" t="s">
        <v>4318</v>
      </c>
      <c r="D384" s="1">
        <v>8.8670000000000009</v>
      </c>
      <c r="E384" s="1" t="s">
        <v>4319</v>
      </c>
      <c r="F384" s="1" t="s">
        <v>4320</v>
      </c>
      <c r="G384" s="1">
        <v>154.09726000000001</v>
      </c>
      <c r="H384" s="2">
        <v>459465.64235541801</v>
      </c>
      <c r="I384" s="1" t="s">
        <v>17</v>
      </c>
      <c r="J384" s="1">
        <v>154.24932000000001</v>
      </c>
      <c r="K384" s="1">
        <v>153.08998</v>
      </c>
      <c r="L384" s="7">
        <f>G384-J384</f>
        <v>-0.15206000000000586</v>
      </c>
      <c r="M384" s="1" t="s">
        <v>4321</v>
      </c>
      <c r="N384" s="2">
        <v>459465.64235541801</v>
      </c>
      <c r="O384" s="1">
        <v>165718.800848869</v>
      </c>
      <c r="P384" s="1">
        <v>301068.09198549198</v>
      </c>
      <c r="Q384" s="1">
        <f>STDEV(N384:P384)</f>
        <v>147024.04648529054</v>
      </c>
      <c r="R384" s="1">
        <v>308750.84506325965</v>
      </c>
      <c r="S384" s="1">
        <v>3.7862665620215437E-4</v>
      </c>
    </row>
    <row r="385" spans="1:19" x14ac:dyDescent="0.3">
      <c r="A385" s="1">
        <v>684</v>
      </c>
      <c r="B385" s="1" t="s">
        <v>3387</v>
      </c>
      <c r="C385" s="1" t="s">
        <v>3388</v>
      </c>
      <c r="D385" s="1">
        <v>13.439</v>
      </c>
      <c r="E385" s="1" t="s">
        <v>3389</v>
      </c>
      <c r="F385" s="1" t="s">
        <v>3390</v>
      </c>
      <c r="G385" s="1">
        <v>410.26407999999998</v>
      </c>
      <c r="H385" s="2">
        <v>118681746.765166</v>
      </c>
      <c r="I385" s="1" t="s">
        <v>17</v>
      </c>
      <c r="J385" s="1">
        <v>410.41658000000001</v>
      </c>
      <c r="K385" s="1">
        <v>409.25680999999997</v>
      </c>
      <c r="L385" s="7">
        <f>G385-J385</f>
        <v>-0.15250000000003183</v>
      </c>
      <c r="M385" s="1" t="s">
        <v>2743</v>
      </c>
      <c r="N385" s="2">
        <v>991137.13279780897</v>
      </c>
      <c r="O385" s="1">
        <v>1725522.47619467</v>
      </c>
      <c r="P385" s="1">
        <v>762387.10865304002</v>
      </c>
      <c r="Q385" s="1">
        <f>STDEV(N385:P385)</f>
        <v>503202.7660151702</v>
      </c>
      <c r="R385" s="1">
        <v>1159682.2392151731</v>
      </c>
      <c r="S385" s="1">
        <v>1.4221389690483401E-3</v>
      </c>
    </row>
    <row r="386" spans="1:19" x14ac:dyDescent="0.3">
      <c r="A386" s="1">
        <v>599</v>
      </c>
      <c r="B386" s="1" t="s">
        <v>1699</v>
      </c>
      <c r="C386" s="1" t="s">
        <v>1700</v>
      </c>
      <c r="D386" s="1">
        <v>9.0419999999999998</v>
      </c>
      <c r="E386" s="1" t="s">
        <v>1701</v>
      </c>
      <c r="F386" s="1" t="s">
        <v>1702</v>
      </c>
      <c r="G386" s="1">
        <v>434.24238000000003</v>
      </c>
      <c r="H386" s="2">
        <v>52519427.4755302</v>
      </c>
      <c r="I386" s="1" t="s">
        <v>828</v>
      </c>
      <c r="J386" s="1">
        <v>434.39492000000001</v>
      </c>
      <c r="K386" s="1">
        <v>513.26373000000001</v>
      </c>
      <c r="L386" s="7">
        <f>G386-J386</f>
        <v>-0.15253999999998769</v>
      </c>
      <c r="M386" s="1" t="s">
        <v>1703</v>
      </c>
      <c r="N386" s="2">
        <v>16344461.2796233</v>
      </c>
      <c r="O386" s="1">
        <v>8832808.1797040496</v>
      </c>
      <c r="P386" s="1">
        <v>7737641.5900126603</v>
      </c>
      <c r="Q386" s="1">
        <f>STDEV(N386:P386)</f>
        <v>4685112.3665317446</v>
      </c>
      <c r="R386" s="1">
        <v>10971637.016446671</v>
      </c>
      <c r="S386" s="1">
        <v>1.3454713737706025E-2</v>
      </c>
    </row>
    <row r="387" spans="1:19" x14ac:dyDescent="0.3">
      <c r="A387" s="1">
        <v>23</v>
      </c>
      <c r="B387" s="1" t="s">
        <v>2678</v>
      </c>
      <c r="C387" s="1" t="s">
        <v>2679</v>
      </c>
      <c r="D387" s="1">
        <v>11.868</v>
      </c>
      <c r="E387" s="1" t="s">
        <v>2680</v>
      </c>
      <c r="F387" s="1" t="s">
        <v>2681</v>
      </c>
      <c r="G387" s="1">
        <v>324.13335000000001</v>
      </c>
      <c r="H387" s="2">
        <v>95809895.684766695</v>
      </c>
      <c r="I387" s="1" t="s">
        <v>23</v>
      </c>
      <c r="J387" s="1">
        <v>324.28604000000001</v>
      </c>
      <c r="K387" s="1">
        <v>325.14062999999999</v>
      </c>
      <c r="L387" s="7">
        <f>G387-J387</f>
        <v>-0.15269000000000688</v>
      </c>
      <c r="M387" s="1" t="s">
        <v>2682</v>
      </c>
      <c r="N387" s="2">
        <v>2814147.8074721601</v>
      </c>
      <c r="O387" s="1">
        <v>2781697.03454284</v>
      </c>
      <c r="P387" s="1">
        <v>2749564.9330002302</v>
      </c>
      <c r="Q387" s="1">
        <f>STDEV(N387:P387)</f>
        <v>32291.568270762589</v>
      </c>
      <c r="R387" s="1">
        <v>2781803.2583384099</v>
      </c>
      <c r="S387" s="1">
        <v>3.4113748440141997E-3</v>
      </c>
    </row>
    <row r="388" spans="1:19" x14ac:dyDescent="0.3">
      <c r="A388" s="1">
        <v>682</v>
      </c>
      <c r="B388" s="1" t="s">
        <v>2739</v>
      </c>
      <c r="C388" s="1" t="s">
        <v>2740</v>
      </c>
      <c r="D388" s="1">
        <v>14.186999999999999</v>
      </c>
      <c r="E388" s="1" t="s">
        <v>2741</v>
      </c>
      <c r="F388" s="1" t="s">
        <v>2742</v>
      </c>
      <c r="G388" s="1">
        <v>410.26387</v>
      </c>
      <c r="H388" s="2">
        <v>86595409.712468803</v>
      </c>
      <c r="I388" s="1" t="s">
        <v>17</v>
      </c>
      <c r="J388" s="1">
        <v>410.41658000000001</v>
      </c>
      <c r="K388" s="1">
        <v>409.25659000000002</v>
      </c>
      <c r="L388" s="7">
        <f>G388-J388</f>
        <v>-0.15271000000001322</v>
      </c>
      <c r="M388" s="1" t="s">
        <v>2743</v>
      </c>
      <c r="N388" s="2">
        <v>6068397.3161040302</v>
      </c>
      <c r="O388" s="1">
        <v>1155159.8605068601</v>
      </c>
      <c r="P388" s="1">
        <v>688898.89122291503</v>
      </c>
      <c r="Q388" s="1">
        <f>STDEV(N388:P388)</f>
        <v>2980388.813836738</v>
      </c>
      <c r="R388" s="1">
        <v>2637485.3559446018</v>
      </c>
      <c r="S388" s="1">
        <v>3.2343952318538488E-3</v>
      </c>
    </row>
    <row r="389" spans="1:19" x14ac:dyDescent="0.3">
      <c r="A389" s="1">
        <v>679</v>
      </c>
      <c r="B389" s="1" t="s">
        <v>2526</v>
      </c>
      <c r="C389" s="1" t="s">
        <v>2527</v>
      </c>
      <c r="D389" s="1">
        <v>21.768999999999998</v>
      </c>
      <c r="E389" s="1" t="s">
        <v>2528</v>
      </c>
      <c r="F389" s="1" t="s">
        <v>2529</v>
      </c>
      <c r="G389" s="1">
        <v>410.26384999999999</v>
      </c>
      <c r="H389" s="2">
        <v>4959284.6573342402</v>
      </c>
      <c r="I389" s="1" t="s">
        <v>23</v>
      </c>
      <c r="J389" s="1">
        <v>410.41658000000001</v>
      </c>
      <c r="K389" s="1">
        <v>411.27113000000003</v>
      </c>
      <c r="L389" s="7">
        <f>G389-J389</f>
        <v>-0.15273000000001957</v>
      </c>
      <c r="M389" s="1" t="s">
        <v>2530</v>
      </c>
      <c r="N389" s="2">
        <v>2527371.1940718102</v>
      </c>
      <c r="O389" s="1">
        <v>3487299.7044720901</v>
      </c>
      <c r="P389" s="1">
        <v>3993343.58096901</v>
      </c>
      <c r="Q389" s="1">
        <f>STDEV(N389:P389)</f>
        <v>744604.83805891185</v>
      </c>
      <c r="R389" s="1">
        <v>3336004.8265043031</v>
      </c>
      <c r="S389" s="1">
        <v>4.0910020902931521E-3</v>
      </c>
    </row>
    <row r="390" spans="1:19" x14ac:dyDescent="0.3">
      <c r="A390" s="1">
        <v>53</v>
      </c>
      <c r="B390" s="1" t="s">
        <v>3809</v>
      </c>
      <c r="C390" s="1" t="s">
        <v>3810</v>
      </c>
      <c r="D390" s="1">
        <v>15.012</v>
      </c>
      <c r="E390" s="1" t="s">
        <v>3811</v>
      </c>
      <c r="F390" s="1" t="s">
        <v>3812</v>
      </c>
      <c r="G390" s="1">
        <v>368.27289000000002</v>
      </c>
      <c r="H390" s="2">
        <v>1276077.54572965</v>
      </c>
      <c r="I390" s="1" t="s">
        <v>23</v>
      </c>
      <c r="J390" s="1">
        <v>368.42626000000001</v>
      </c>
      <c r="K390" s="1">
        <v>369.28017</v>
      </c>
      <c r="L390" s="7">
        <f>G390-J390</f>
        <v>-0.15336999999999534</v>
      </c>
      <c r="M390" s="1" t="s">
        <v>3813</v>
      </c>
      <c r="N390" s="2">
        <v>401371.30075031798</v>
      </c>
      <c r="O390" s="1">
        <v>1276077.54572965</v>
      </c>
      <c r="P390" s="1">
        <v>569312.98498571594</v>
      </c>
      <c r="Q390" s="1">
        <f>STDEV(N390:P390)</f>
        <v>464189.53898761934</v>
      </c>
      <c r="R390" s="1">
        <v>748920.61048856133</v>
      </c>
      <c r="S390" s="1">
        <v>9.1841467333331987E-4</v>
      </c>
    </row>
    <row r="391" spans="1:19" x14ac:dyDescent="0.3">
      <c r="A391" s="1">
        <v>635</v>
      </c>
      <c r="B391" s="1" t="s">
        <v>2369</v>
      </c>
      <c r="C391" s="1" t="s">
        <v>2370</v>
      </c>
      <c r="D391" s="1">
        <v>8.0350000000000001</v>
      </c>
      <c r="E391" s="1" t="s">
        <v>2371</v>
      </c>
      <c r="F391" s="1" t="s">
        <v>2372</v>
      </c>
      <c r="G391" s="1">
        <v>302.12497000000002</v>
      </c>
      <c r="H391" s="2">
        <v>6854388.4380333899</v>
      </c>
      <c r="I391" s="1" t="s">
        <v>17</v>
      </c>
      <c r="J391" s="1">
        <v>302.27875999999998</v>
      </c>
      <c r="K391" s="1">
        <v>301.11797999999999</v>
      </c>
      <c r="L391" s="7">
        <f>G391-J391</f>
        <v>-0.15378999999995813</v>
      </c>
      <c r="M391" s="1" t="s">
        <v>24</v>
      </c>
      <c r="N391" s="2">
        <v>439143.84300852299</v>
      </c>
      <c r="O391" s="1">
        <v>6854388.4380333899</v>
      </c>
      <c r="P391" s="1">
        <v>6017936.0966998199</v>
      </c>
      <c r="Q391" s="1">
        <f>STDEV(N391:P391)</f>
        <v>3487547.8191026105</v>
      </c>
      <c r="R391" s="1">
        <v>4437156.1259139106</v>
      </c>
      <c r="S391" s="1">
        <v>5.4413635261709829E-3</v>
      </c>
    </row>
    <row r="392" spans="1:19" x14ac:dyDescent="0.3">
      <c r="A392" s="1">
        <v>937</v>
      </c>
      <c r="B392" s="1" t="s">
        <v>2361</v>
      </c>
      <c r="C392" s="1" t="s">
        <v>2362</v>
      </c>
      <c r="D392" s="1">
        <v>13.147</v>
      </c>
      <c r="E392" s="1" t="s">
        <v>2363</v>
      </c>
      <c r="F392" s="1" t="s">
        <v>2364</v>
      </c>
      <c r="G392" s="1">
        <v>325.11628999999999</v>
      </c>
      <c r="H392" s="2">
        <v>12315337.4847361</v>
      </c>
      <c r="I392" s="1" t="s">
        <v>17</v>
      </c>
      <c r="J392" s="1">
        <v>325.27080000000001</v>
      </c>
      <c r="K392" s="1">
        <v>324.10901000000001</v>
      </c>
      <c r="L392" s="7">
        <f>G392-J392</f>
        <v>-0.15451000000001613</v>
      </c>
      <c r="M392" s="1" t="s">
        <v>24</v>
      </c>
      <c r="N392" s="2">
        <v>1272365.33591151</v>
      </c>
      <c r="O392" s="1">
        <v>3873057.8606962501</v>
      </c>
      <c r="P392" s="1">
        <v>8293334.0681145499</v>
      </c>
      <c r="Q392" s="1">
        <f>STDEV(N392:P392)</f>
        <v>3549564.4168665805</v>
      </c>
      <c r="R392" s="1">
        <v>4479585.7549074367</v>
      </c>
      <c r="S392" s="1">
        <v>5.4933957353344113E-3</v>
      </c>
    </row>
    <row r="393" spans="1:19" x14ac:dyDescent="0.3">
      <c r="A393" s="1">
        <v>451</v>
      </c>
      <c r="B393" s="1" t="s">
        <v>3676</v>
      </c>
      <c r="C393" s="1" t="s">
        <v>3677</v>
      </c>
      <c r="D393" s="1">
        <v>10.346</v>
      </c>
      <c r="E393" s="1" t="s">
        <v>3678</v>
      </c>
      <c r="F393" s="1" t="s">
        <v>3679</v>
      </c>
      <c r="G393" s="1">
        <v>256.14168000000001</v>
      </c>
      <c r="H393" s="2">
        <v>8119698.2712839404</v>
      </c>
      <c r="I393" s="1" t="s">
        <v>23</v>
      </c>
      <c r="J393" s="1">
        <v>256.29644000000002</v>
      </c>
      <c r="K393" s="1">
        <v>257.14895999999999</v>
      </c>
      <c r="L393" s="7">
        <f>G393-J393</f>
        <v>-0.15476000000001022</v>
      </c>
      <c r="M393" s="1" t="s">
        <v>3680</v>
      </c>
      <c r="N393" s="2">
        <v>788404.90217272902</v>
      </c>
      <c r="O393" s="1">
        <v>902665.29259637103</v>
      </c>
      <c r="P393" s="1">
        <v>917645.11719935504</v>
      </c>
      <c r="Q393" s="1">
        <f>STDEV(N393:P393)</f>
        <v>70690.481614132223</v>
      </c>
      <c r="R393" s="1">
        <v>869571.7706561517</v>
      </c>
      <c r="S393" s="1">
        <v>1.0663713382998744E-3</v>
      </c>
    </row>
    <row r="394" spans="1:19" x14ac:dyDescent="0.3">
      <c r="A394" s="1">
        <v>526</v>
      </c>
      <c r="B394" s="1" t="s">
        <v>2088</v>
      </c>
      <c r="C394" s="1" t="s">
        <v>2089</v>
      </c>
      <c r="D394" s="1">
        <v>9.1170000000000009</v>
      </c>
      <c r="E394" s="1" t="s">
        <v>2090</v>
      </c>
      <c r="F394" s="1" t="s">
        <v>2091</v>
      </c>
      <c r="G394" s="1">
        <v>608.38959</v>
      </c>
      <c r="H394" s="2">
        <v>7608706.6783521604</v>
      </c>
      <c r="I394" s="1" t="s">
        <v>139</v>
      </c>
      <c r="J394" s="1">
        <v>608.54467999999997</v>
      </c>
      <c r="K394" s="1">
        <v>653.38744999999994</v>
      </c>
      <c r="L394" s="7">
        <f>G394-J394</f>
        <v>-0.15508999999997286</v>
      </c>
      <c r="M394" s="1" t="s">
        <v>2092</v>
      </c>
      <c r="N394" s="2">
        <v>7608706.6783521604</v>
      </c>
      <c r="O394" s="1">
        <v>6336359.9191682497</v>
      </c>
      <c r="P394" s="1">
        <v>5739827.0854255604</v>
      </c>
      <c r="Q394" s="1">
        <f>STDEV(N394:P394)</f>
        <v>954587.92420222808</v>
      </c>
      <c r="R394" s="1">
        <v>6561631.2276486568</v>
      </c>
      <c r="S394" s="1">
        <v>8.0466451531402937E-3</v>
      </c>
    </row>
    <row r="395" spans="1:19" x14ac:dyDescent="0.3">
      <c r="A395" s="1">
        <v>961</v>
      </c>
      <c r="B395" s="1" t="s">
        <v>860</v>
      </c>
      <c r="C395" s="1" t="s">
        <v>861</v>
      </c>
      <c r="D395" s="1">
        <v>12.896000000000001</v>
      </c>
      <c r="E395" s="1"/>
      <c r="F395" s="1" t="s">
        <v>862</v>
      </c>
      <c r="G395" s="1">
        <v>410.26468999999997</v>
      </c>
      <c r="H395" s="2">
        <v>168184007.67253301</v>
      </c>
      <c r="I395" s="1" t="s">
        <v>17</v>
      </c>
      <c r="J395" s="1">
        <v>410.42</v>
      </c>
      <c r="K395" s="1">
        <v>409.25740999999999</v>
      </c>
      <c r="L395" s="7">
        <f>G395-J395</f>
        <v>-0.15531000000004269</v>
      </c>
      <c r="M395" s="1" t="s">
        <v>863</v>
      </c>
      <c r="N395" s="2">
        <v>62254818.267716698</v>
      </c>
      <c r="O395" s="1">
        <v>64781442.988640897</v>
      </c>
      <c r="P395" s="1">
        <v>26288977.7736177</v>
      </c>
      <c r="Q395" s="1">
        <f>STDEV(N395:P395)</f>
        <v>21531354.630155552</v>
      </c>
      <c r="R395" s="1">
        <v>51108413.009991765</v>
      </c>
      <c r="S395" s="1">
        <v>6.2675156460890183E-2</v>
      </c>
    </row>
    <row r="396" spans="1:19" x14ac:dyDescent="0.3">
      <c r="A396" s="1">
        <v>332</v>
      </c>
      <c r="B396" s="1" t="s">
        <v>2504</v>
      </c>
      <c r="C396" s="1" t="s">
        <v>2505</v>
      </c>
      <c r="D396" s="1">
        <v>7.0019999999999998</v>
      </c>
      <c r="E396" s="1" t="s">
        <v>2506</v>
      </c>
      <c r="F396" s="1" t="s">
        <v>2507</v>
      </c>
      <c r="G396" s="1">
        <v>230.15001000000001</v>
      </c>
      <c r="H396" s="2">
        <v>5366318.5320616802</v>
      </c>
      <c r="I396" s="1" t="s">
        <v>17</v>
      </c>
      <c r="J396" s="1">
        <v>230.30552</v>
      </c>
      <c r="K396" s="1">
        <v>229.14273</v>
      </c>
      <c r="L396" s="7">
        <f>G396-J396</f>
        <v>-0.15550999999999249</v>
      </c>
      <c r="M396" s="1" t="s">
        <v>24</v>
      </c>
      <c r="N396" s="2">
        <v>2170796.3848800301</v>
      </c>
      <c r="O396" s="1">
        <v>3063598.2994494098</v>
      </c>
      <c r="P396" s="1">
        <v>5366318.5320616802</v>
      </c>
      <c r="Q396" s="1">
        <f>STDEV(N396:P396)</f>
        <v>1648786.2971222741</v>
      </c>
      <c r="R396" s="1">
        <v>3533571.0721303732</v>
      </c>
      <c r="S396" s="1">
        <v>4.3332810934307332E-3</v>
      </c>
    </row>
    <row r="397" spans="1:19" x14ac:dyDescent="0.3">
      <c r="A397" s="1">
        <v>337</v>
      </c>
      <c r="B397" s="1" t="s">
        <v>3414</v>
      </c>
      <c r="C397" s="1" t="s">
        <v>3415</v>
      </c>
      <c r="D397" s="1">
        <v>0.98599999999999999</v>
      </c>
      <c r="E397" s="1" t="s">
        <v>3416</v>
      </c>
      <c r="F397" s="1" t="s">
        <v>3417</v>
      </c>
      <c r="G397" s="1">
        <v>246.19243</v>
      </c>
      <c r="H397" s="2">
        <v>14328676.5957758</v>
      </c>
      <c r="I397" s="1" t="s">
        <v>23</v>
      </c>
      <c r="J397" s="1">
        <v>246.34798000000001</v>
      </c>
      <c r="K397" s="1">
        <v>247.19971000000001</v>
      </c>
      <c r="L397" s="7">
        <f>G397-J397</f>
        <v>-0.15555000000000518</v>
      </c>
      <c r="M397" s="1" t="s">
        <v>3418</v>
      </c>
      <c r="N397" s="2">
        <v>935497.58224615105</v>
      </c>
      <c r="O397" s="1">
        <v>1188273.81665007</v>
      </c>
      <c r="P397" s="1">
        <v>1275708.95480518</v>
      </c>
      <c r="Q397" s="1">
        <f>STDEV(N397:P397)</f>
        <v>176675.08128488646</v>
      </c>
      <c r="R397" s="1">
        <v>1133160.117900467</v>
      </c>
      <c r="S397" s="1">
        <v>1.3896144196605721E-3</v>
      </c>
    </row>
    <row r="398" spans="1:19" x14ac:dyDescent="0.3">
      <c r="A398" s="1">
        <v>193</v>
      </c>
      <c r="B398" s="1" t="s">
        <v>477</v>
      </c>
      <c r="C398" s="1" t="s">
        <v>478</v>
      </c>
      <c r="D398" s="1">
        <v>0.105</v>
      </c>
      <c r="E398" s="1" t="s">
        <v>479</v>
      </c>
      <c r="F398" s="1" t="s">
        <v>480</v>
      </c>
      <c r="G398" s="1">
        <v>250.13949</v>
      </c>
      <c r="H398" s="2">
        <v>208602946.159794</v>
      </c>
      <c r="I398" s="1" t="s">
        <v>344</v>
      </c>
      <c r="J398" s="1">
        <v>250.29516000000001</v>
      </c>
      <c r="K398" s="1">
        <v>283.17297000000002</v>
      </c>
      <c r="L398" s="7">
        <f>G398-J398</f>
        <v>-0.15567000000001485</v>
      </c>
      <c r="M398" s="1" t="s">
        <v>481</v>
      </c>
      <c r="N398" s="2">
        <v>12247816.440159401</v>
      </c>
      <c r="O398" s="1">
        <v>102514469.18947101</v>
      </c>
      <c r="P398" s="1">
        <v>208602946.159794</v>
      </c>
      <c r="Q398" s="1">
        <f>STDEV(N398:P398)</f>
        <v>98283747.818634868</v>
      </c>
      <c r="R398" s="1">
        <v>107788410.59647481</v>
      </c>
      <c r="S398" s="1">
        <v>0.13218284624654639</v>
      </c>
    </row>
    <row r="399" spans="1:19" x14ac:dyDescent="0.3">
      <c r="A399" s="1">
        <v>475</v>
      </c>
      <c r="B399" s="1" t="s">
        <v>2298</v>
      </c>
      <c r="C399" s="1" t="s">
        <v>2299</v>
      </c>
      <c r="D399" s="1">
        <v>1.365</v>
      </c>
      <c r="E399" s="1" t="s">
        <v>2300</v>
      </c>
      <c r="F399" s="1" t="s">
        <v>2301</v>
      </c>
      <c r="G399" s="1">
        <v>272.09679</v>
      </c>
      <c r="H399" s="2">
        <v>6422907.8524322398</v>
      </c>
      <c r="I399" s="1" t="s">
        <v>23</v>
      </c>
      <c r="J399" s="1">
        <v>272.25277999999997</v>
      </c>
      <c r="K399" s="1">
        <v>273.10406</v>
      </c>
      <c r="L399" s="7">
        <f>G399-J399</f>
        <v>-0.15598999999997432</v>
      </c>
      <c r="M399" s="1" t="s">
        <v>2302</v>
      </c>
      <c r="N399" s="2">
        <v>6422907.8524322398</v>
      </c>
      <c r="O399" s="1">
        <v>3842122.4572772598</v>
      </c>
      <c r="P399" s="1">
        <v>4359764.1282785796</v>
      </c>
      <c r="Q399" s="1">
        <f>STDEV(N399:P399)</f>
        <v>1365342.9472673936</v>
      </c>
      <c r="R399" s="1">
        <v>4874931.4793293597</v>
      </c>
      <c r="S399" s="1">
        <v>5.9782152332406319E-3</v>
      </c>
    </row>
    <row r="400" spans="1:19" x14ac:dyDescent="0.3">
      <c r="A400" s="1">
        <v>453</v>
      </c>
      <c r="B400" s="1" t="s">
        <v>2795</v>
      </c>
      <c r="C400" s="1" t="s">
        <v>2796</v>
      </c>
      <c r="D400" s="1">
        <v>0.61399999999999999</v>
      </c>
      <c r="E400" s="1" t="s">
        <v>2797</v>
      </c>
      <c r="F400" s="1" t="s">
        <v>2798</v>
      </c>
      <c r="G400" s="1">
        <v>272.09638999999999</v>
      </c>
      <c r="H400" s="2">
        <v>3019588.7233571</v>
      </c>
      <c r="I400" s="1" t="s">
        <v>23</v>
      </c>
      <c r="J400" s="1">
        <v>272.25277999999997</v>
      </c>
      <c r="K400" s="1">
        <v>273.10367000000002</v>
      </c>
      <c r="L400" s="7">
        <f>G400-J400</f>
        <v>-0.15638999999998759</v>
      </c>
      <c r="M400" s="1" t="s">
        <v>2302</v>
      </c>
      <c r="N400" s="2">
        <v>3019588.7233571</v>
      </c>
      <c r="O400" s="1">
        <v>2291070.9877498201</v>
      </c>
      <c r="P400" s="1">
        <v>2089275.9018995001</v>
      </c>
      <c r="Q400" s="1">
        <f>STDEV(N400:P400)</f>
        <v>489377.37543673557</v>
      </c>
      <c r="R400" s="1">
        <v>2466645.2043354735</v>
      </c>
      <c r="S400" s="1">
        <v>3.0248909134589297E-3</v>
      </c>
    </row>
    <row r="401" spans="1:19" x14ac:dyDescent="0.3">
      <c r="A401" s="1">
        <v>327</v>
      </c>
      <c r="B401" s="1" t="s">
        <v>3686</v>
      </c>
      <c r="C401" s="1" t="s">
        <v>3687</v>
      </c>
      <c r="D401" s="1">
        <v>15.16</v>
      </c>
      <c r="E401" s="1" t="s">
        <v>3688</v>
      </c>
      <c r="F401" s="1" t="s">
        <v>3689</v>
      </c>
      <c r="G401" s="1">
        <v>406.32026999999999</v>
      </c>
      <c r="H401" s="2">
        <v>26614659.1918783</v>
      </c>
      <c r="I401" s="1" t="s">
        <v>23</v>
      </c>
      <c r="J401" s="1">
        <v>406.47753999999998</v>
      </c>
      <c r="K401" s="1">
        <v>407.32754999999997</v>
      </c>
      <c r="L401" s="7">
        <f>G401-J401</f>
        <v>-0.1572699999999827</v>
      </c>
      <c r="M401" s="1" t="s">
        <v>3690</v>
      </c>
      <c r="N401" s="2">
        <v>805843.10745981697</v>
      </c>
      <c r="O401" s="1">
        <v>916192.45261680498</v>
      </c>
      <c r="P401" s="1">
        <v>874046.81916955602</v>
      </c>
      <c r="Q401" s="1">
        <f>STDEV(N401:P401)</f>
        <v>55685.094783420485</v>
      </c>
      <c r="R401" s="1">
        <v>865360.79308205936</v>
      </c>
      <c r="S401" s="1">
        <v>1.0612073415571476E-3</v>
      </c>
    </row>
    <row r="402" spans="1:19" x14ac:dyDescent="0.3">
      <c r="A402" s="1">
        <v>696</v>
      </c>
      <c r="B402" s="1" t="s">
        <v>1295</v>
      </c>
      <c r="C402" s="1" t="s">
        <v>1296</v>
      </c>
      <c r="D402" s="1">
        <v>8.8550000000000004</v>
      </c>
      <c r="E402" s="1" t="s">
        <v>1297</v>
      </c>
      <c r="F402" s="1" t="s">
        <v>1298</v>
      </c>
      <c r="G402" s="1">
        <v>452.25281000000001</v>
      </c>
      <c r="H402" s="2">
        <v>28963611.984909002</v>
      </c>
      <c r="I402" s="1" t="s">
        <v>23</v>
      </c>
      <c r="J402" s="1">
        <v>452.41019999999997</v>
      </c>
      <c r="K402" s="1">
        <v>453.26011</v>
      </c>
      <c r="L402" s="7">
        <f>G402-J402</f>
        <v>-0.15738999999996395</v>
      </c>
      <c r="M402" s="1" t="s">
        <v>1299</v>
      </c>
      <c r="N402" s="2">
        <v>23991090.836118702</v>
      </c>
      <c r="O402" s="1">
        <v>28963611.984909002</v>
      </c>
      <c r="P402" s="1">
        <v>24046351.8075817</v>
      </c>
      <c r="Q402" s="1">
        <f>STDEV(N402:P402)</f>
        <v>2855067.6583244852</v>
      </c>
      <c r="R402" s="1">
        <v>25667018.209536467</v>
      </c>
      <c r="S402" s="1">
        <v>3.1475921231455879E-2</v>
      </c>
    </row>
    <row r="403" spans="1:19" x14ac:dyDescent="0.3">
      <c r="A403" s="1">
        <v>282</v>
      </c>
      <c r="B403" s="1" t="s">
        <v>1126</v>
      </c>
      <c r="C403" s="1" t="s">
        <v>1127</v>
      </c>
      <c r="D403" s="1">
        <v>13.372999999999999</v>
      </c>
      <c r="E403" s="1" t="s">
        <v>1128</v>
      </c>
      <c r="F403" s="1" t="s">
        <v>1129</v>
      </c>
      <c r="G403" s="1">
        <v>242.20186000000001</v>
      </c>
      <c r="H403" s="2">
        <v>40975725.4831343</v>
      </c>
      <c r="I403" s="1" t="s">
        <v>23</v>
      </c>
      <c r="J403" s="1">
        <v>242.35928000000001</v>
      </c>
      <c r="K403" s="1">
        <v>243.20913999999999</v>
      </c>
      <c r="L403" s="7">
        <f>G403-J403</f>
        <v>-0.15742000000000189</v>
      </c>
      <c r="M403" s="1" t="s">
        <v>24</v>
      </c>
      <c r="N403" s="2">
        <v>40975725.4831343</v>
      </c>
      <c r="O403" s="1">
        <v>38889901.0333528</v>
      </c>
      <c r="P403" s="1">
        <v>16817159.913496099</v>
      </c>
      <c r="Q403" s="1">
        <f>STDEV(N403:P403)</f>
        <v>13386515.943055207</v>
      </c>
      <c r="R403" s="1">
        <v>32227595.476661067</v>
      </c>
      <c r="S403" s="1">
        <v>3.9521273894047977E-2</v>
      </c>
    </row>
    <row r="404" spans="1:19" x14ac:dyDescent="0.3">
      <c r="A404" s="1">
        <v>928</v>
      </c>
      <c r="B404" s="1" t="s">
        <v>591</v>
      </c>
      <c r="C404" s="1" t="s">
        <v>592</v>
      </c>
      <c r="D404" s="1">
        <v>9.0559999999999992</v>
      </c>
      <c r="E404" s="1" t="s">
        <v>593</v>
      </c>
      <c r="F404" s="1" t="s">
        <v>594</v>
      </c>
      <c r="G404" s="1">
        <v>287.19571999999999</v>
      </c>
      <c r="H404" s="2">
        <v>626711322.09664094</v>
      </c>
      <c r="I404" s="1" t="s">
        <v>124</v>
      </c>
      <c r="J404" s="1">
        <v>287.35354000000001</v>
      </c>
      <c r="K404" s="1">
        <v>351.21152000000001</v>
      </c>
      <c r="L404" s="7">
        <f>G404-J404</f>
        <v>-0.15782000000001517</v>
      </c>
      <c r="M404" s="1" t="s">
        <v>595</v>
      </c>
      <c r="N404" s="2">
        <v>104802311.778643</v>
      </c>
      <c r="O404" s="1">
        <v>71134996.134799302</v>
      </c>
      <c r="P404" s="1">
        <v>78610929.140409604</v>
      </c>
      <c r="Q404" s="1">
        <f>STDEV(N404:P404)</f>
        <v>17679395.924205724</v>
      </c>
      <c r="R404" s="1">
        <v>84849412.351283967</v>
      </c>
      <c r="S404" s="1">
        <v>0.10405234444848922</v>
      </c>
    </row>
    <row r="405" spans="1:19" x14ac:dyDescent="0.3">
      <c r="A405" s="1">
        <v>5</v>
      </c>
      <c r="B405" s="1" t="s">
        <v>2661</v>
      </c>
      <c r="C405" s="1" t="s">
        <v>2662</v>
      </c>
      <c r="D405" s="1">
        <v>6.742</v>
      </c>
      <c r="E405" s="1" t="s">
        <v>2663</v>
      </c>
      <c r="F405" s="1" t="s">
        <v>2664</v>
      </c>
      <c r="G405" s="1">
        <v>712.45145000000002</v>
      </c>
      <c r="H405" s="2">
        <v>53368353.911187001</v>
      </c>
      <c r="I405" s="1" t="s">
        <v>290</v>
      </c>
      <c r="J405" s="1">
        <v>712.60943999999995</v>
      </c>
      <c r="K405" s="1">
        <v>357.233</v>
      </c>
      <c r="L405" s="7">
        <f>G405-J405</f>
        <v>-0.15798999999992702</v>
      </c>
      <c r="M405" s="1" t="s">
        <v>2665</v>
      </c>
      <c r="N405" s="2">
        <v>615108.09985237499</v>
      </c>
      <c r="O405" s="1">
        <v>781602.56572209101</v>
      </c>
      <c r="P405" s="1">
        <v>7016942.8899980905</v>
      </c>
      <c r="Q405" s="1">
        <f>STDEV(N405:P405)</f>
        <v>3648987.9429559549</v>
      </c>
      <c r="R405" s="1">
        <v>2804551.1851908523</v>
      </c>
      <c r="S405" s="1">
        <v>3.4392710315627939E-3</v>
      </c>
    </row>
    <row r="406" spans="1:19" x14ac:dyDescent="0.3">
      <c r="A406" s="1">
        <v>298</v>
      </c>
      <c r="B406" s="1" t="s">
        <v>1005</v>
      </c>
      <c r="C406" s="1" t="s">
        <v>1006</v>
      </c>
      <c r="D406" s="1">
        <v>7.4820000000000002</v>
      </c>
      <c r="E406" s="1" t="s">
        <v>1007</v>
      </c>
      <c r="F406" s="1" t="s">
        <v>1008</v>
      </c>
      <c r="G406" s="1">
        <v>357.19722000000002</v>
      </c>
      <c r="H406" s="2">
        <v>59704673.737667598</v>
      </c>
      <c r="I406" s="1" t="s">
        <v>23</v>
      </c>
      <c r="J406" s="1">
        <v>357.35572000000002</v>
      </c>
      <c r="K406" s="1">
        <v>358.2045</v>
      </c>
      <c r="L406" s="7">
        <f>G406-J406</f>
        <v>-0.15850000000000364</v>
      </c>
      <c r="M406" s="1" t="s">
        <v>1009</v>
      </c>
      <c r="N406" s="2">
        <v>12653767.6067745</v>
      </c>
      <c r="O406" s="1">
        <v>59704673.737667598</v>
      </c>
      <c r="P406" s="1">
        <v>51372329.543421797</v>
      </c>
      <c r="Q406" s="1">
        <f>STDEV(N406:P406)</f>
        <v>25107577.760347851</v>
      </c>
      <c r="R406" s="1">
        <v>41243590.295954637</v>
      </c>
      <c r="S406" s="1">
        <v>5.0577748800426425E-2</v>
      </c>
    </row>
    <row r="407" spans="1:19" x14ac:dyDescent="0.3">
      <c r="A407" s="1">
        <v>47</v>
      </c>
      <c r="B407" s="1" t="s">
        <v>3719</v>
      </c>
      <c r="C407" s="1" t="s">
        <v>3720</v>
      </c>
      <c r="D407" s="1">
        <v>15.416</v>
      </c>
      <c r="E407" s="1" t="s">
        <v>3721</v>
      </c>
      <c r="F407" s="1" t="s">
        <v>3722</v>
      </c>
      <c r="G407" s="1">
        <v>428.36214000000001</v>
      </c>
      <c r="H407" s="2">
        <v>56121497.598624699</v>
      </c>
      <c r="I407" s="1" t="s">
        <v>23</v>
      </c>
      <c r="J407" s="1">
        <v>428.52127999999999</v>
      </c>
      <c r="K407" s="1">
        <v>429.36941999999999</v>
      </c>
      <c r="L407" s="7">
        <f>G407-J407</f>
        <v>-0.15913999999997941</v>
      </c>
      <c r="M407" s="1" t="s">
        <v>24</v>
      </c>
      <c r="N407" s="2">
        <v>790101.08227058395</v>
      </c>
      <c r="O407" s="1">
        <v>893851.76982079202</v>
      </c>
      <c r="P407" s="1">
        <v>861886.54766123404</v>
      </c>
      <c r="Q407" s="1">
        <f>STDEV(N407:P407)</f>
        <v>53133.689306946959</v>
      </c>
      <c r="R407" s="1">
        <v>848613.13325086993</v>
      </c>
      <c r="S407" s="1">
        <v>1.0406693882446792E-3</v>
      </c>
    </row>
    <row r="408" spans="1:19" x14ac:dyDescent="0.3">
      <c r="A408" s="1">
        <v>114</v>
      </c>
      <c r="B408" s="1" t="s">
        <v>2569</v>
      </c>
      <c r="C408" s="1" t="s">
        <v>2570</v>
      </c>
      <c r="D408" s="1">
        <v>9.0990000000000002</v>
      </c>
      <c r="E408" s="1" t="s">
        <v>2571</v>
      </c>
      <c r="F408" s="1" t="s">
        <v>2572</v>
      </c>
      <c r="G408" s="1">
        <v>287.19427000000002</v>
      </c>
      <c r="H408" s="2">
        <v>15233227.7287641</v>
      </c>
      <c r="I408" s="1" t="s">
        <v>344</v>
      </c>
      <c r="J408" s="1">
        <v>287.35354000000001</v>
      </c>
      <c r="K408" s="1">
        <v>320.22771999999998</v>
      </c>
      <c r="L408" s="7">
        <f>G408-J408</f>
        <v>-0.15926999999999225</v>
      </c>
      <c r="M408" s="1" t="s">
        <v>24</v>
      </c>
      <c r="N408" s="2">
        <v>2536910.92685267</v>
      </c>
      <c r="O408" s="1">
        <v>3145609.3509956799</v>
      </c>
      <c r="P408" s="1">
        <v>3641892.9570987001</v>
      </c>
      <c r="Q408" s="1">
        <f>STDEV(N408:P408)</f>
        <v>553443.23352497153</v>
      </c>
      <c r="R408" s="1">
        <v>3108137.7449823502</v>
      </c>
      <c r="S408" s="1">
        <v>3.8115646328263598E-3</v>
      </c>
    </row>
    <row r="409" spans="1:19" x14ac:dyDescent="0.3">
      <c r="A409" s="1">
        <v>541</v>
      </c>
      <c r="B409" s="1" t="s">
        <v>1982</v>
      </c>
      <c r="C409" s="1" t="s">
        <v>1983</v>
      </c>
      <c r="D409" s="1">
        <v>4.9589999999999996</v>
      </c>
      <c r="E409" s="1" t="s">
        <v>1984</v>
      </c>
      <c r="F409" s="1" t="s">
        <v>1985</v>
      </c>
      <c r="G409" s="1">
        <v>254.07732999999999</v>
      </c>
      <c r="H409" s="2">
        <v>34828489.462865002</v>
      </c>
      <c r="I409" s="1" t="s">
        <v>17</v>
      </c>
      <c r="J409" s="1">
        <v>254.23750000000001</v>
      </c>
      <c r="K409" s="1">
        <v>253.07006000000001</v>
      </c>
      <c r="L409" s="7">
        <f>G409-J409</f>
        <v>-0.16017000000002213</v>
      </c>
      <c r="M409" s="1" t="s">
        <v>1986</v>
      </c>
      <c r="N409" s="2">
        <v>7022345.6771392198</v>
      </c>
      <c r="O409" s="1">
        <v>7812475.2071311204</v>
      </c>
      <c r="P409" s="1">
        <v>7595612.2058724798</v>
      </c>
      <c r="Q409" s="1">
        <f>STDEV(N409:P409)</f>
        <v>408241.91121727659</v>
      </c>
      <c r="R409" s="1">
        <v>7476811.0300476067</v>
      </c>
      <c r="S409" s="1">
        <v>9.1689464324617026E-3</v>
      </c>
    </row>
    <row r="410" spans="1:19" x14ac:dyDescent="0.3">
      <c r="A410" s="1">
        <v>921</v>
      </c>
      <c r="B410" s="1" t="s">
        <v>1938</v>
      </c>
      <c r="C410" s="1" t="s">
        <v>1939</v>
      </c>
      <c r="D410" s="1">
        <v>10.382999999999999</v>
      </c>
      <c r="E410" s="1" t="s">
        <v>1940</v>
      </c>
      <c r="F410" s="1" t="s">
        <v>1941</v>
      </c>
      <c r="G410" s="1">
        <v>287.14992999999998</v>
      </c>
      <c r="H410" s="2">
        <v>474088407.396447</v>
      </c>
      <c r="I410" s="1" t="s">
        <v>23</v>
      </c>
      <c r="J410" s="1">
        <v>287.31047999999998</v>
      </c>
      <c r="K410" s="1">
        <v>288.15723000000003</v>
      </c>
      <c r="L410" s="7">
        <f>G410-J410</f>
        <v>-0.16055000000000064</v>
      </c>
      <c r="M410" s="1" t="s">
        <v>1942</v>
      </c>
      <c r="N410" s="2">
        <v>15285518.490580101</v>
      </c>
      <c r="O410" s="1">
        <v>5441169.7006723396</v>
      </c>
      <c r="P410" s="1">
        <v>2871820.5204508598</v>
      </c>
      <c r="Q410" s="1">
        <f>STDEV(N410:P410)</f>
        <v>6552514.2197588813</v>
      </c>
      <c r="R410" s="1">
        <v>7866169.5705677671</v>
      </c>
      <c r="S410" s="1">
        <v>9.6464237401940739E-3</v>
      </c>
    </row>
    <row r="411" spans="1:19" x14ac:dyDescent="0.3">
      <c r="A411" s="1">
        <v>432</v>
      </c>
      <c r="B411" s="1" t="s">
        <v>3787</v>
      </c>
      <c r="C411" s="1" t="s">
        <v>3788</v>
      </c>
      <c r="D411" s="1">
        <v>16.463999999999999</v>
      </c>
      <c r="E411" s="1" t="s">
        <v>3789</v>
      </c>
      <c r="F411" s="1" t="s">
        <v>3790</v>
      </c>
      <c r="G411" s="1">
        <v>379.24498</v>
      </c>
      <c r="H411" s="2">
        <v>967172.21099042601</v>
      </c>
      <c r="I411" s="1" t="s">
        <v>23</v>
      </c>
      <c r="J411" s="1">
        <v>379.40584000000001</v>
      </c>
      <c r="K411" s="1">
        <v>380.25225999999998</v>
      </c>
      <c r="L411" s="7">
        <f>G411-J411</f>
        <v>-0.16086000000001377</v>
      </c>
      <c r="M411" s="1" t="s">
        <v>24</v>
      </c>
      <c r="N411" s="2">
        <v>447437.20351365401</v>
      </c>
      <c r="O411" s="1">
        <v>967172.21099042601</v>
      </c>
      <c r="P411" s="1">
        <v>877655.95218169305</v>
      </c>
      <c r="Q411" s="1">
        <f>STDEV(N411:P411)</f>
        <v>277856.62078773772</v>
      </c>
      <c r="R411" s="1">
        <v>764088.45556192438</v>
      </c>
      <c r="S411" s="1">
        <v>9.3701527169198372E-4</v>
      </c>
    </row>
    <row r="412" spans="1:19" x14ac:dyDescent="0.3">
      <c r="A412" s="1">
        <v>933</v>
      </c>
      <c r="B412" s="1" t="s">
        <v>273</v>
      </c>
      <c r="C412" s="1" t="s">
        <v>274</v>
      </c>
      <c r="D412" s="1">
        <v>1.6060000000000001</v>
      </c>
      <c r="E412" s="1" t="s">
        <v>275</v>
      </c>
      <c r="F412" s="1" t="s">
        <v>276</v>
      </c>
      <c r="G412" s="1">
        <v>291.09402</v>
      </c>
      <c r="H412" s="2">
        <v>218952120.090655</v>
      </c>
      <c r="I412" s="1" t="s">
        <v>17</v>
      </c>
      <c r="J412" s="1">
        <v>291.25612000000001</v>
      </c>
      <c r="K412" s="1">
        <v>290.08674000000002</v>
      </c>
      <c r="L412" s="7">
        <f>G412-J412</f>
        <v>-0.16210000000000946</v>
      </c>
      <c r="M412" s="1" t="s">
        <v>277</v>
      </c>
      <c r="N412" s="2">
        <v>218952120.090655</v>
      </c>
      <c r="O412" s="1">
        <v>216846777.995318</v>
      </c>
      <c r="P412" s="1">
        <v>199023202.06480601</v>
      </c>
      <c r="Q412" s="1">
        <f>STDEV(N412:P412)</f>
        <v>10948927.633716255</v>
      </c>
      <c r="R412" s="1">
        <v>211607366.71692634</v>
      </c>
      <c r="S412" s="1">
        <v>0.25949787982396333</v>
      </c>
    </row>
    <row r="413" spans="1:19" x14ac:dyDescent="0.3">
      <c r="A413" s="1">
        <v>273</v>
      </c>
      <c r="B413" s="1" t="s">
        <v>3709</v>
      </c>
      <c r="C413" s="1" t="s">
        <v>3710</v>
      </c>
      <c r="D413" s="1">
        <v>0.11600000000000001</v>
      </c>
      <c r="E413" s="1" t="s">
        <v>3711</v>
      </c>
      <c r="F413" s="1" t="s">
        <v>3712</v>
      </c>
      <c r="G413" s="1">
        <v>262.2278</v>
      </c>
      <c r="H413" s="2">
        <v>18201192.964901101</v>
      </c>
      <c r="I413" s="1" t="s">
        <v>23</v>
      </c>
      <c r="J413" s="1">
        <v>262.39044000000001</v>
      </c>
      <c r="K413" s="1">
        <v>263.23498999999998</v>
      </c>
      <c r="L413" s="7">
        <f>G413-J413</f>
        <v>-0.16264000000001033</v>
      </c>
      <c r="M413" s="1" t="s">
        <v>3713</v>
      </c>
      <c r="N413" s="2">
        <v>467013.52671860001</v>
      </c>
      <c r="O413" s="1">
        <v>984123.97746291396</v>
      </c>
      <c r="P413" s="1">
        <v>1103981.7196511901</v>
      </c>
      <c r="Q413" s="1">
        <f>STDEV(N413:P413)</f>
        <v>338501.00330704771</v>
      </c>
      <c r="R413" s="1">
        <v>851706.40794423467</v>
      </c>
      <c r="S413" s="1">
        <v>1.0444627260527859E-3</v>
      </c>
    </row>
    <row r="414" spans="1:19" x14ac:dyDescent="0.3">
      <c r="A414" s="1">
        <v>297</v>
      </c>
      <c r="B414" s="1" t="s">
        <v>1837</v>
      </c>
      <c r="C414" s="1" t="s">
        <v>1838</v>
      </c>
      <c r="D414" s="1">
        <v>0.66</v>
      </c>
      <c r="E414" s="1" t="s">
        <v>1839</v>
      </c>
      <c r="F414" s="1" t="s">
        <v>1840</v>
      </c>
      <c r="G414" s="1">
        <v>207.10939999999999</v>
      </c>
      <c r="H414" s="2">
        <v>12080590.962112101</v>
      </c>
      <c r="I414" s="1" t="s">
        <v>23</v>
      </c>
      <c r="J414" s="1">
        <v>207.27217999999999</v>
      </c>
      <c r="K414" s="1">
        <v>208.11661000000001</v>
      </c>
      <c r="L414" s="7">
        <f>G414-J414</f>
        <v>-0.16277999999999793</v>
      </c>
      <c r="M414" s="1" t="s">
        <v>24</v>
      </c>
      <c r="N414" s="2">
        <v>12080590.962112101</v>
      </c>
      <c r="O414" s="1">
        <v>8950714.1852077693</v>
      </c>
      <c r="P414" s="1">
        <v>6817195.6947805397</v>
      </c>
      <c r="Q414" s="1">
        <f>STDEV(N414:P414)</f>
        <v>2647368.4898960898</v>
      </c>
      <c r="R414" s="1">
        <v>9282833.6140334699</v>
      </c>
      <c r="S414" s="1">
        <v>1.1383704069351852E-2</v>
      </c>
    </row>
    <row r="415" spans="1:19" x14ac:dyDescent="0.3">
      <c r="A415" s="1">
        <v>135</v>
      </c>
      <c r="B415" s="1" t="s">
        <v>1281</v>
      </c>
      <c r="C415" s="1" t="s">
        <v>1282</v>
      </c>
      <c r="D415" s="1">
        <v>12.092000000000001</v>
      </c>
      <c r="E415" s="1" t="s">
        <v>1283</v>
      </c>
      <c r="F415" s="1" t="s">
        <v>1284</v>
      </c>
      <c r="G415" s="1">
        <v>334.24844000000002</v>
      </c>
      <c r="H415" s="2">
        <v>30504994.852874801</v>
      </c>
      <c r="I415" s="1" t="s">
        <v>156</v>
      </c>
      <c r="J415" s="1">
        <v>334.41158000000001</v>
      </c>
      <c r="K415" s="1">
        <v>317.24524000000002</v>
      </c>
      <c r="L415" s="7">
        <f>G415-J415</f>
        <v>-0.16313999999999851</v>
      </c>
      <c r="M415" s="1" t="s">
        <v>1285</v>
      </c>
      <c r="N415" s="2">
        <v>30504994.852874801</v>
      </c>
      <c r="O415" s="1">
        <v>28414860.885931801</v>
      </c>
      <c r="P415" s="1">
        <v>19656817.146313898</v>
      </c>
      <c r="Q415" s="1">
        <f>STDEV(N415:P415)</f>
        <v>5755503.8832111498</v>
      </c>
      <c r="R415" s="1">
        <v>26192224.295040172</v>
      </c>
      <c r="S415" s="1">
        <v>3.2119990801307736E-2</v>
      </c>
    </row>
    <row r="416" spans="1:19" x14ac:dyDescent="0.3">
      <c r="A416" s="1">
        <v>392</v>
      </c>
      <c r="B416" s="1" t="s">
        <v>2025</v>
      </c>
      <c r="C416" s="1" t="s">
        <v>2026</v>
      </c>
      <c r="D416" s="1">
        <v>0.97799999999999998</v>
      </c>
      <c r="E416" s="1" t="s">
        <v>2027</v>
      </c>
      <c r="F416" s="1" t="s">
        <v>2028</v>
      </c>
      <c r="G416" s="1">
        <v>159.0197</v>
      </c>
      <c r="H416" s="2">
        <v>13417897.7579011</v>
      </c>
      <c r="I416" s="1" t="s">
        <v>23</v>
      </c>
      <c r="J416" s="1">
        <v>159.18302</v>
      </c>
      <c r="K416" s="1">
        <v>160.02698000000001</v>
      </c>
      <c r="L416" s="7">
        <f>G416-J416</f>
        <v>-0.1633199999999988</v>
      </c>
      <c r="M416" s="1" t="s">
        <v>2029</v>
      </c>
      <c r="N416" s="2">
        <v>4602383.3880502004</v>
      </c>
      <c r="O416" s="1">
        <v>7375163.5989277204</v>
      </c>
      <c r="P416" s="1">
        <v>9658877.7887040302</v>
      </c>
      <c r="Q416" s="1">
        <f>STDEV(N416:P416)</f>
        <v>2532186.0194393056</v>
      </c>
      <c r="R416" s="1">
        <v>7212141.5918939831</v>
      </c>
      <c r="S416" s="1">
        <v>8.8443775900785282E-3</v>
      </c>
    </row>
    <row r="417" spans="1:19" x14ac:dyDescent="0.3">
      <c r="A417" s="1">
        <v>847</v>
      </c>
      <c r="B417" s="1" t="s">
        <v>1644</v>
      </c>
      <c r="C417" s="1" t="s">
        <v>1645</v>
      </c>
      <c r="D417" s="1">
        <v>9.1140000000000008</v>
      </c>
      <c r="E417" s="1" t="s">
        <v>1646</v>
      </c>
      <c r="F417" s="1" t="s">
        <v>1647</v>
      </c>
      <c r="G417" s="1">
        <v>328.23799000000002</v>
      </c>
      <c r="H417" s="2">
        <v>16128126.286877399</v>
      </c>
      <c r="I417" s="1" t="s">
        <v>23</v>
      </c>
      <c r="J417" s="1">
        <v>328.40215999999998</v>
      </c>
      <c r="K417" s="1">
        <v>329.24516999999997</v>
      </c>
      <c r="L417" s="7">
        <f>G417-J417</f>
        <v>-0.16416999999995596</v>
      </c>
      <c r="M417" s="1" t="s">
        <v>1648</v>
      </c>
      <c r="N417" s="2">
        <v>14837767.659218701</v>
      </c>
      <c r="O417" s="1">
        <v>6502969.7934640003</v>
      </c>
      <c r="P417" s="1">
        <v>16128126.286877399</v>
      </c>
      <c r="Q417" s="1">
        <f>STDEV(N417:P417)</f>
        <v>5224581.6160030253</v>
      </c>
      <c r="R417" s="1">
        <v>12489621.246520033</v>
      </c>
      <c r="S417" s="1">
        <v>1.5316244814916578E-2</v>
      </c>
    </row>
    <row r="418" spans="1:19" x14ac:dyDescent="0.3">
      <c r="A418" s="1">
        <v>657</v>
      </c>
      <c r="B418" s="1" t="s">
        <v>1387</v>
      </c>
      <c r="C418" s="1" t="s">
        <v>1388</v>
      </c>
      <c r="D418" s="1">
        <v>0.754</v>
      </c>
      <c r="E418" s="1" t="s">
        <v>1389</v>
      </c>
      <c r="F418" s="1" t="s">
        <v>1390</v>
      </c>
      <c r="G418" s="1">
        <v>286.11452000000003</v>
      </c>
      <c r="H418" s="2">
        <v>24726369.898024201</v>
      </c>
      <c r="I418" s="1" t="s">
        <v>156</v>
      </c>
      <c r="J418" s="1">
        <v>286.27936</v>
      </c>
      <c r="K418" s="1">
        <v>269.11144999999999</v>
      </c>
      <c r="L418" s="7">
        <f>G418-J418</f>
        <v>-0.16483999999996968</v>
      </c>
      <c r="M418" s="1" t="s">
        <v>1391</v>
      </c>
      <c r="N418" s="2">
        <v>13631897.4761602</v>
      </c>
      <c r="O418" s="1">
        <v>18677191.8802584</v>
      </c>
      <c r="P418" s="1">
        <v>24726369.898024201</v>
      </c>
      <c r="Q418" s="1">
        <f>STDEV(N418:P418)</f>
        <v>5554800.7560149664</v>
      </c>
      <c r="R418" s="1">
        <v>19011819.751480933</v>
      </c>
      <c r="S418" s="1">
        <v>2.3314532918432756E-2</v>
      </c>
    </row>
    <row r="419" spans="1:19" x14ac:dyDescent="0.3">
      <c r="A419" s="1">
        <v>197</v>
      </c>
      <c r="B419" s="1" t="s">
        <v>686</v>
      </c>
      <c r="C419" s="1" t="s">
        <v>687</v>
      </c>
      <c r="D419" s="1">
        <v>1.1040000000000001</v>
      </c>
      <c r="E419" s="1" t="s">
        <v>688</v>
      </c>
      <c r="F419" s="1" t="s">
        <v>689</v>
      </c>
      <c r="G419" s="1">
        <v>250.13006999999999</v>
      </c>
      <c r="H419" s="2">
        <v>103174964.335748</v>
      </c>
      <c r="I419" s="1" t="s">
        <v>23</v>
      </c>
      <c r="J419" s="1">
        <v>250.29516000000001</v>
      </c>
      <c r="K419" s="1">
        <v>251.13733999999999</v>
      </c>
      <c r="L419" s="7">
        <f>G419-J419</f>
        <v>-0.16509000000002061</v>
      </c>
      <c r="M419" s="1" t="s">
        <v>690</v>
      </c>
      <c r="N419" s="2">
        <v>26818793.207591001</v>
      </c>
      <c r="O419" s="1">
        <v>103174964.335748</v>
      </c>
      <c r="P419" s="1">
        <v>76763994.964875594</v>
      </c>
      <c r="Q419" s="1">
        <f>STDEV(N419:P419)</f>
        <v>38777844.514270052</v>
      </c>
      <c r="R419" s="1">
        <v>68919250.836071536</v>
      </c>
      <c r="S419" s="1">
        <v>8.4516903870085883E-2</v>
      </c>
    </row>
    <row r="420" spans="1:19" x14ac:dyDescent="0.3">
      <c r="A420" s="1">
        <v>587</v>
      </c>
      <c r="B420" s="1" t="s">
        <v>2289</v>
      </c>
      <c r="C420" s="1" t="s">
        <v>2290</v>
      </c>
      <c r="D420" s="1">
        <v>7.6589999999999998</v>
      </c>
      <c r="E420" s="1" t="s">
        <v>2291</v>
      </c>
      <c r="F420" s="1" t="s">
        <v>2292</v>
      </c>
      <c r="G420" s="1">
        <v>344.19337999999999</v>
      </c>
      <c r="H420" s="2">
        <v>5080116.36669611</v>
      </c>
      <c r="I420" s="1" t="s">
        <v>23</v>
      </c>
      <c r="J420" s="1">
        <v>344.35849999999999</v>
      </c>
      <c r="K420" s="1">
        <v>345.20065</v>
      </c>
      <c r="L420" s="7">
        <f>G420-J420</f>
        <v>-0.16512000000000171</v>
      </c>
      <c r="M420" s="1" t="s">
        <v>24</v>
      </c>
      <c r="N420" s="2">
        <v>4923757.88790562</v>
      </c>
      <c r="O420" s="1">
        <v>4754067.7674191697</v>
      </c>
      <c r="P420" s="1">
        <v>5080116.36669611</v>
      </c>
      <c r="Q420" s="1">
        <f>STDEV(N420:P420)</f>
        <v>163069.71922608081</v>
      </c>
      <c r="R420" s="1">
        <v>4919314.0073402999</v>
      </c>
      <c r="S420" s="1">
        <v>6.0326423172252534E-3</v>
      </c>
    </row>
    <row r="421" spans="1:19" x14ac:dyDescent="0.3">
      <c r="A421" s="1">
        <v>1006</v>
      </c>
      <c r="B421" s="1" t="s">
        <v>601</v>
      </c>
      <c r="C421" s="1" t="s">
        <v>602</v>
      </c>
      <c r="D421" s="1">
        <v>12.058999999999999</v>
      </c>
      <c r="E421" s="1"/>
      <c r="F421" s="1" t="s">
        <v>603</v>
      </c>
      <c r="G421" s="1">
        <v>426.29449</v>
      </c>
      <c r="H421" s="2">
        <v>903961643.85169697</v>
      </c>
      <c r="I421" s="1" t="s">
        <v>398</v>
      </c>
      <c r="J421" s="1">
        <v>426.46</v>
      </c>
      <c r="K421" s="1">
        <v>444.32837999999998</v>
      </c>
      <c r="L421" s="7">
        <f>G421-J421</f>
        <v>-0.16550999999998339</v>
      </c>
      <c r="M421" s="1" t="s">
        <v>604</v>
      </c>
      <c r="N421" s="2">
        <v>75590334.720365494</v>
      </c>
      <c r="O421" s="1">
        <v>111033211.157924</v>
      </c>
      <c r="P421" s="1">
        <v>65017620.2034401</v>
      </c>
      <c r="Q421" s="1">
        <f>STDEV(N421:P421)</f>
        <v>24101916.913096476</v>
      </c>
      <c r="R421" s="1">
        <v>83880388.693909869</v>
      </c>
      <c r="S421" s="1">
        <v>0.10286401349154184</v>
      </c>
    </row>
    <row r="422" spans="1:19" x14ac:dyDescent="0.3">
      <c r="A422" s="1">
        <v>344</v>
      </c>
      <c r="B422" s="1" t="s">
        <v>4253</v>
      </c>
      <c r="C422" s="1" t="s">
        <v>4254</v>
      </c>
      <c r="D422" s="1">
        <v>7.2519999999999998</v>
      </c>
      <c r="E422" s="1" t="s">
        <v>4255</v>
      </c>
      <c r="F422" s="1" t="s">
        <v>4256</v>
      </c>
      <c r="G422" s="1">
        <v>244.16595000000001</v>
      </c>
      <c r="H422" s="2">
        <v>733179.323790906</v>
      </c>
      <c r="I422" s="1" t="s">
        <v>17</v>
      </c>
      <c r="J422" s="1">
        <v>244.3321</v>
      </c>
      <c r="K422" s="1">
        <v>243.15867</v>
      </c>
      <c r="L422" s="7">
        <f>G422-J422</f>
        <v>-0.16614999999998759</v>
      </c>
      <c r="M422" s="1" t="s">
        <v>24</v>
      </c>
      <c r="N422" s="2">
        <v>174993.10906091999</v>
      </c>
      <c r="O422" s="1">
        <v>190367.52108012501</v>
      </c>
      <c r="P422" s="1">
        <v>733179.323790906</v>
      </c>
      <c r="Q422" s="1">
        <f>STDEV(N422:P422)</f>
        <v>317923.70049579878</v>
      </c>
      <c r="R422" s="1">
        <v>366179.98464398365</v>
      </c>
      <c r="S422" s="1">
        <v>4.4905303214797941E-4</v>
      </c>
    </row>
    <row r="423" spans="1:19" x14ac:dyDescent="0.3">
      <c r="A423" s="1">
        <v>751</v>
      </c>
      <c r="B423" s="1" t="s">
        <v>3988</v>
      </c>
      <c r="C423" s="1" t="s">
        <v>3989</v>
      </c>
      <c r="D423" s="1">
        <v>7.5289999999999999</v>
      </c>
      <c r="E423" s="1" t="s">
        <v>3990</v>
      </c>
      <c r="F423" s="1" t="s">
        <v>3991</v>
      </c>
      <c r="G423" s="1">
        <v>196.11924999999999</v>
      </c>
      <c r="H423" s="2">
        <v>914758.92700748099</v>
      </c>
      <c r="I423" s="1" t="s">
        <v>456</v>
      </c>
      <c r="J423" s="1">
        <v>196.286</v>
      </c>
      <c r="K423" s="1">
        <v>415.22728999999998</v>
      </c>
      <c r="L423" s="7">
        <f>G423-J423</f>
        <v>-0.1667500000000075</v>
      </c>
      <c r="M423" s="1" t="s">
        <v>24</v>
      </c>
      <c r="N423" s="2">
        <v>393831.17001999001</v>
      </c>
      <c r="O423" s="1">
        <v>533024.54437743302</v>
      </c>
      <c r="P423" s="1">
        <v>914758.92700748099</v>
      </c>
      <c r="Q423" s="1">
        <f>STDEV(N423:P423)</f>
        <v>269710.23412388779</v>
      </c>
      <c r="R423" s="1">
        <v>613871.54713496799</v>
      </c>
      <c r="S423" s="1">
        <v>7.5280160344738212E-4</v>
      </c>
    </row>
    <row r="424" spans="1:19" x14ac:dyDescent="0.3">
      <c r="A424" s="1">
        <v>272</v>
      </c>
      <c r="B424" s="1" t="s">
        <v>3328</v>
      </c>
      <c r="C424" s="1" t="s">
        <v>3329</v>
      </c>
      <c r="D424" s="1">
        <v>1.7430000000000001</v>
      </c>
      <c r="E424" s="1" t="s">
        <v>3330</v>
      </c>
      <c r="F424" s="1" t="s">
        <v>3331</v>
      </c>
      <c r="G424" s="1">
        <v>276.20715000000001</v>
      </c>
      <c r="H424" s="2">
        <v>1743847.19354045</v>
      </c>
      <c r="I424" s="1" t="s">
        <v>23</v>
      </c>
      <c r="J424" s="1">
        <v>276.37396000000001</v>
      </c>
      <c r="K424" s="1">
        <v>277.21442000000002</v>
      </c>
      <c r="L424" s="7">
        <f>G424-J424</f>
        <v>-0.16680999999999813</v>
      </c>
      <c r="M424" s="1" t="s">
        <v>24</v>
      </c>
      <c r="N424" s="2">
        <v>846440.75638475502</v>
      </c>
      <c r="O424" s="1">
        <v>1169262.78861562</v>
      </c>
      <c r="P424" s="1">
        <v>1743847.19354045</v>
      </c>
      <c r="Q424" s="1">
        <f>STDEV(N424:P424)</f>
        <v>454550.99023192894</v>
      </c>
      <c r="R424" s="1">
        <v>1253183.5795136082</v>
      </c>
      <c r="S424" s="1">
        <v>1.5368013267185278E-3</v>
      </c>
    </row>
    <row r="425" spans="1:19" x14ac:dyDescent="0.3">
      <c r="A425" s="1">
        <v>648</v>
      </c>
      <c r="B425" s="1" t="s">
        <v>1310</v>
      </c>
      <c r="C425" s="1" t="s">
        <v>1311</v>
      </c>
      <c r="D425" s="1">
        <v>6.6150000000000002</v>
      </c>
      <c r="E425" s="1" t="s">
        <v>1312</v>
      </c>
      <c r="F425" s="1" t="s">
        <v>1313</v>
      </c>
      <c r="G425" s="1">
        <v>354.18641000000002</v>
      </c>
      <c r="H425" s="2">
        <v>34273601.966261901</v>
      </c>
      <c r="I425" s="1" t="s">
        <v>150</v>
      </c>
      <c r="J425" s="1">
        <v>354.35332</v>
      </c>
      <c r="K425" s="1">
        <v>377.17559999999997</v>
      </c>
      <c r="L425" s="7">
        <f>G425-J425</f>
        <v>-0.16690999999997302</v>
      </c>
      <c r="M425" s="1" t="s">
        <v>1314</v>
      </c>
      <c r="N425" s="2">
        <v>28461762.473912701</v>
      </c>
      <c r="O425" s="1">
        <v>12245225.646044601</v>
      </c>
      <c r="P425" s="1">
        <v>33962890.800812498</v>
      </c>
      <c r="Q425" s="1">
        <f>STDEV(N425:P425)</f>
        <v>11290818.241187859</v>
      </c>
      <c r="R425" s="1">
        <v>24889959.640256599</v>
      </c>
      <c r="S425" s="1">
        <v>3.0523000478479851E-2</v>
      </c>
    </row>
    <row r="426" spans="1:19" x14ac:dyDescent="0.3">
      <c r="A426" s="1">
        <v>737</v>
      </c>
      <c r="B426" s="1" t="s">
        <v>1081</v>
      </c>
      <c r="C426" s="1" t="s">
        <v>1082</v>
      </c>
      <c r="D426" s="1">
        <v>0.64500000000000002</v>
      </c>
      <c r="E426" s="1" t="s">
        <v>1083</v>
      </c>
      <c r="F426" s="1" t="s">
        <v>1084</v>
      </c>
      <c r="G426" s="1">
        <v>152.06630999999999</v>
      </c>
      <c r="H426" s="2">
        <v>60181156.8839169</v>
      </c>
      <c r="I426" s="1" t="s">
        <v>17</v>
      </c>
      <c r="J426" s="1">
        <v>152.23344</v>
      </c>
      <c r="K426" s="1">
        <v>151.05894000000001</v>
      </c>
      <c r="L426" s="7">
        <f>G426-J426</f>
        <v>-0.16713000000001443</v>
      </c>
      <c r="M426" s="1" t="s">
        <v>1085</v>
      </c>
      <c r="N426" s="2">
        <v>15625812.786815999</v>
      </c>
      <c r="O426" s="1">
        <v>27439383.286676399</v>
      </c>
      <c r="P426" s="1">
        <v>60181156.8839169</v>
      </c>
      <c r="Q426" s="1">
        <f>STDEV(N426:P426)</f>
        <v>23082326.839161288</v>
      </c>
      <c r="R426" s="1">
        <v>34415450.985803097</v>
      </c>
      <c r="S426" s="1">
        <v>4.2204280042614728E-2</v>
      </c>
    </row>
    <row r="427" spans="1:19" x14ac:dyDescent="0.3">
      <c r="A427" s="1">
        <v>37</v>
      </c>
      <c r="B427" s="1" t="s">
        <v>219</v>
      </c>
      <c r="C427" s="1" t="s">
        <v>220</v>
      </c>
      <c r="D427" s="1">
        <v>13.038</v>
      </c>
      <c r="E427" s="1" t="s">
        <v>221</v>
      </c>
      <c r="F427" s="1" t="s">
        <v>222</v>
      </c>
      <c r="G427" s="1">
        <v>352.25898000000001</v>
      </c>
      <c r="H427" s="2">
        <v>328941492.46748698</v>
      </c>
      <c r="I427" s="1" t="s">
        <v>23</v>
      </c>
      <c r="J427" s="1">
        <v>352.42685999999998</v>
      </c>
      <c r="K427" s="1">
        <v>353.26627000000002</v>
      </c>
      <c r="L427" s="7">
        <f>G427-J427</f>
        <v>-0.16787999999996828</v>
      </c>
      <c r="M427" s="1" t="s">
        <v>223</v>
      </c>
      <c r="N427" s="2">
        <v>215847506.90873599</v>
      </c>
      <c r="O427" s="1">
        <v>328941492.46748698</v>
      </c>
      <c r="P427" s="1">
        <v>264766168.188586</v>
      </c>
      <c r="Q427" s="1">
        <f>STDEV(N427:P427)</f>
        <v>56718246.971731134</v>
      </c>
      <c r="R427" s="1">
        <v>269851722.52160299</v>
      </c>
      <c r="S427" s="1">
        <v>0.33092396993378914</v>
      </c>
    </row>
    <row r="428" spans="1:19" x14ac:dyDescent="0.3">
      <c r="A428" s="1">
        <v>557</v>
      </c>
      <c r="B428" s="1" t="s">
        <v>1527</v>
      </c>
      <c r="C428" s="1" t="s">
        <v>1528</v>
      </c>
      <c r="D428" s="1">
        <v>1.7290000000000001</v>
      </c>
      <c r="E428" s="1" t="s">
        <v>1529</v>
      </c>
      <c r="F428" s="1" t="s">
        <v>1530</v>
      </c>
      <c r="G428" s="1">
        <v>315.12912</v>
      </c>
      <c r="H428" s="2">
        <v>37054535.606239103</v>
      </c>
      <c r="I428" s="1" t="s">
        <v>23</v>
      </c>
      <c r="J428" s="1">
        <v>315.29739999999998</v>
      </c>
      <c r="K428" s="1">
        <v>316.13639000000001</v>
      </c>
      <c r="L428" s="7">
        <f>G428-J428</f>
        <v>-0.16827999999998156</v>
      </c>
      <c r="M428" s="1" t="s">
        <v>1531</v>
      </c>
      <c r="N428" s="2">
        <v>4041989.6812977199</v>
      </c>
      <c r="O428" s="1">
        <v>2926090.2667631302</v>
      </c>
      <c r="P428" s="1">
        <v>37054535.606239103</v>
      </c>
      <c r="Q428" s="1">
        <f>STDEV(N428:P428)</f>
        <v>19389963.904209666</v>
      </c>
      <c r="R428" s="1">
        <v>14674205.18476665</v>
      </c>
      <c r="S428" s="1">
        <v>1.7995238977869487E-2</v>
      </c>
    </row>
    <row r="429" spans="1:19" x14ac:dyDescent="0.3">
      <c r="A429" s="1">
        <v>108</v>
      </c>
      <c r="B429" s="1" t="s">
        <v>2093</v>
      </c>
      <c r="C429" s="1" t="s">
        <v>2094</v>
      </c>
      <c r="D429" s="1">
        <v>12.722</v>
      </c>
      <c r="E429" s="1" t="s">
        <v>2095</v>
      </c>
      <c r="F429" s="1" t="s">
        <v>2096</v>
      </c>
      <c r="G429" s="1">
        <v>280.23881</v>
      </c>
      <c r="H429" s="2">
        <v>10164179.729227399</v>
      </c>
      <c r="I429" s="1" t="s">
        <v>17</v>
      </c>
      <c r="J429" s="1">
        <v>280.40726000000001</v>
      </c>
      <c r="K429" s="1">
        <v>279.23154</v>
      </c>
      <c r="L429" s="7">
        <f>G429-J429</f>
        <v>-0.16845000000000709</v>
      </c>
      <c r="M429" s="1" t="s">
        <v>2097</v>
      </c>
      <c r="N429" s="2">
        <v>7974578.5208453899</v>
      </c>
      <c r="O429" s="1">
        <v>10164179.729227399</v>
      </c>
      <c r="P429" s="1">
        <v>1208059.6859979399</v>
      </c>
      <c r="Q429" s="1">
        <f>STDEV(N429:P429)</f>
        <v>4668908.0954549685</v>
      </c>
      <c r="R429" s="1">
        <v>6448939.3120235763</v>
      </c>
      <c r="S429" s="1">
        <v>7.9084490514085004E-3</v>
      </c>
    </row>
    <row r="430" spans="1:19" x14ac:dyDescent="0.3">
      <c r="A430" s="1">
        <v>127</v>
      </c>
      <c r="B430" s="1" t="s">
        <v>3126</v>
      </c>
      <c r="C430" s="1" t="s">
        <v>3127</v>
      </c>
      <c r="D430" s="1">
        <v>14.647</v>
      </c>
      <c r="E430" s="1" t="s">
        <v>3128</v>
      </c>
      <c r="F430" s="1" t="s">
        <v>3129</v>
      </c>
      <c r="G430" s="1">
        <v>282.25459000000001</v>
      </c>
      <c r="H430" s="2">
        <v>5112634.7189200995</v>
      </c>
      <c r="I430" s="1" t="s">
        <v>17</v>
      </c>
      <c r="J430" s="1">
        <v>282.42313999999999</v>
      </c>
      <c r="K430" s="1">
        <v>281.24731000000003</v>
      </c>
      <c r="L430" s="7">
        <f>G430-J430</f>
        <v>-0.16854999999998199</v>
      </c>
      <c r="M430" s="1" t="s">
        <v>3130</v>
      </c>
      <c r="N430" s="2">
        <v>3428202.68594338</v>
      </c>
      <c r="O430" s="1">
        <v>1198740.83343844</v>
      </c>
      <c r="P430" s="1">
        <v>390365.52762282197</v>
      </c>
      <c r="Q430" s="1">
        <f>STDEV(N430:P430)</f>
        <v>1573341.7401240994</v>
      </c>
      <c r="R430" s="1">
        <v>1672436.3490015473</v>
      </c>
      <c r="S430" s="1">
        <v>2.0509384594677091E-3</v>
      </c>
    </row>
    <row r="431" spans="1:19" x14ac:dyDescent="0.3">
      <c r="A431" s="1">
        <v>138</v>
      </c>
      <c r="B431" s="1" t="s">
        <v>1542</v>
      </c>
      <c r="C431" s="1" t="s">
        <v>1543</v>
      </c>
      <c r="D431" s="1">
        <v>0.124</v>
      </c>
      <c r="E431" s="1" t="s">
        <v>1544</v>
      </c>
      <c r="F431" s="1" t="s">
        <v>1545</v>
      </c>
      <c r="G431" s="1">
        <v>310.26371999999998</v>
      </c>
      <c r="H431" s="2">
        <v>26431603.848309401</v>
      </c>
      <c r="I431" s="1" t="s">
        <v>23</v>
      </c>
      <c r="J431" s="1">
        <v>310.43324000000001</v>
      </c>
      <c r="K431" s="1">
        <v>311.27100000000002</v>
      </c>
      <c r="L431" s="7">
        <f>G431-J431</f>
        <v>-0.16952000000003409</v>
      </c>
      <c r="M431" s="1" t="s">
        <v>24</v>
      </c>
      <c r="N431" s="2">
        <v>579011.70793424605</v>
      </c>
      <c r="O431" s="1">
        <v>16575650.9027611</v>
      </c>
      <c r="P431" s="1">
        <v>26431603.848309401</v>
      </c>
      <c r="Q431" s="1">
        <f>STDEV(N431:P431)</f>
        <v>13047278.096541317</v>
      </c>
      <c r="R431" s="1">
        <v>14528755.486334914</v>
      </c>
      <c r="S431" s="1">
        <v>1.7816871424085022E-2</v>
      </c>
    </row>
    <row r="432" spans="1:19" x14ac:dyDescent="0.3">
      <c r="A432" s="1">
        <v>107</v>
      </c>
      <c r="B432" s="1" t="s">
        <v>1485</v>
      </c>
      <c r="C432" s="1" t="s">
        <v>1486</v>
      </c>
      <c r="D432" s="1">
        <v>12.353</v>
      </c>
      <c r="E432" s="1" t="s">
        <v>1487</v>
      </c>
      <c r="F432" s="1" t="s">
        <v>1488</v>
      </c>
      <c r="G432" s="1">
        <v>310.26366000000002</v>
      </c>
      <c r="H432" s="2">
        <v>41917850.810194001</v>
      </c>
      <c r="I432" s="1" t="s">
        <v>23</v>
      </c>
      <c r="J432" s="1">
        <v>310.43324000000001</v>
      </c>
      <c r="K432" s="1">
        <v>311.27094</v>
      </c>
      <c r="L432" s="7">
        <f>G432-J432</f>
        <v>-0.16957999999999629</v>
      </c>
      <c r="M432" s="1" t="s">
        <v>24</v>
      </c>
      <c r="N432" s="2">
        <v>8031739.8139019702</v>
      </c>
      <c r="O432" s="1">
        <v>11356718.868339799</v>
      </c>
      <c r="P432" s="1">
        <v>27112288.095138699</v>
      </c>
      <c r="Q432" s="1">
        <f>STDEV(N432:P432)</f>
        <v>10192814.217914408</v>
      </c>
      <c r="R432" s="1">
        <v>15500248.925793489</v>
      </c>
      <c r="S432" s="1">
        <v>1.9008231118757813E-2</v>
      </c>
    </row>
    <row r="433" spans="1:19" x14ac:dyDescent="0.3">
      <c r="A433" s="1">
        <v>109</v>
      </c>
      <c r="B433" s="1" t="s">
        <v>1010</v>
      </c>
      <c r="C433" s="1" t="s">
        <v>1011</v>
      </c>
      <c r="D433" s="1">
        <v>0.313</v>
      </c>
      <c r="E433" s="1" t="s">
        <v>1012</v>
      </c>
      <c r="F433" s="1" t="s">
        <v>1013</v>
      </c>
      <c r="G433" s="1">
        <v>326.26305000000002</v>
      </c>
      <c r="H433" s="2">
        <v>65448985.1693068</v>
      </c>
      <c r="I433" s="1" t="s">
        <v>23</v>
      </c>
      <c r="J433" s="1">
        <v>326.43263999999999</v>
      </c>
      <c r="K433" s="1">
        <v>327.27032000000003</v>
      </c>
      <c r="L433" s="7">
        <f>G433-J433</f>
        <v>-0.16958999999997104</v>
      </c>
      <c r="M433" s="1" t="s">
        <v>24</v>
      </c>
      <c r="N433" s="2">
        <v>3984864.0054261601</v>
      </c>
      <c r="O433" s="1">
        <v>53124321.235261001</v>
      </c>
      <c r="P433" s="1">
        <v>65448985.1693068</v>
      </c>
      <c r="Q433" s="1">
        <f>STDEV(N433:P433)</f>
        <v>32517743.331854325</v>
      </c>
      <c r="R433" s="1">
        <v>40852723.469997987</v>
      </c>
      <c r="S433" s="1">
        <v>5.0098421855420024E-2</v>
      </c>
    </row>
    <row r="434" spans="1:19" x14ac:dyDescent="0.3">
      <c r="A434" s="1">
        <v>527</v>
      </c>
      <c r="B434" s="1" t="s">
        <v>2859</v>
      </c>
      <c r="C434" s="1" t="s">
        <v>2860</v>
      </c>
      <c r="D434" s="1">
        <v>7.2519999999999998</v>
      </c>
      <c r="E434" s="1" t="s">
        <v>2861</v>
      </c>
      <c r="F434" s="1" t="s">
        <v>2862</v>
      </c>
      <c r="G434" s="1">
        <v>344.14530999999999</v>
      </c>
      <c r="H434" s="2">
        <v>94154689.789723307</v>
      </c>
      <c r="I434" s="1" t="s">
        <v>17</v>
      </c>
      <c r="J434" s="1">
        <v>344.31544000000002</v>
      </c>
      <c r="K434" s="1">
        <v>343.13803000000001</v>
      </c>
      <c r="L434" s="7">
        <f>G434-J434</f>
        <v>-0.17013000000002876</v>
      </c>
      <c r="M434" s="1" t="s">
        <v>2863</v>
      </c>
      <c r="N434" s="2">
        <v>2199243.3038497702</v>
      </c>
      <c r="O434" s="1">
        <v>2860762.5284084999</v>
      </c>
      <c r="P434" s="1">
        <v>1801477.62072297</v>
      </c>
      <c r="Q434" s="1">
        <f>STDEV(N434:P434)</f>
        <v>535087.17962347984</v>
      </c>
      <c r="R434" s="1">
        <v>2287161.1509937467</v>
      </c>
      <c r="S434" s="1">
        <v>2.8047864245320628E-3</v>
      </c>
    </row>
    <row r="435" spans="1:19" x14ac:dyDescent="0.3">
      <c r="A435" s="1">
        <v>333</v>
      </c>
      <c r="B435" s="1" t="s">
        <v>935</v>
      </c>
      <c r="C435" s="1" t="s">
        <v>936</v>
      </c>
      <c r="D435" s="1">
        <v>5.7930000000000001</v>
      </c>
      <c r="E435" s="1" t="s">
        <v>937</v>
      </c>
      <c r="F435" s="1" t="s">
        <v>938</v>
      </c>
      <c r="G435" s="1">
        <v>204.09782000000001</v>
      </c>
      <c r="H435" s="2">
        <v>47662744.312239997</v>
      </c>
      <c r="I435" s="1" t="s">
        <v>17</v>
      </c>
      <c r="J435" s="1">
        <v>204.26823999999999</v>
      </c>
      <c r="K435" s="1">
        <v>203.09054</v>
      </c>
      <c r="L435" s="7">
        <f>G435-J435</f>
        <v>-0.1704199999999787</v>
      </c>
      <c r="M435" s="1" t="s">
        <v>939</v>
      </c>
      <c r="N435" s="2">
        <v>43277294.317173302</v>
      </c>
      <c r="O435" s="1">
        <v>47080731.136813298</v>
      </c>
      <c r="P435" s="1">
        <v>47662744.312239997</v>
      </c>
      <c r="Q435" s="1">
        <f>STDEV(N435:P435)</f>
        <v>2381772.5414976813</v>
      </c>
      <c r="R435" s="1">
        <v>46006923.255408861</v>
      </c>
      <c r="S435" s="1">
        <v>5.6419108782602805E-2</v>
      </c>
    </row>
    <row r="436" spans="1:19" x14ac:dyDescent="0.3">
      <c r="A436" s="1">
        <v>43</v>
      </c>
      <c r="B436" s="1" t="s">
        <v>1708</v>
      </c>
      <c r="C436" s="1" t="s">
        <v>1709</v>
      </c>
      <c r="D436" s="1">
        <v>13.441000000000001</v>
      </c>
      <c r="E436" s="1" t="s">
        <v>1710</v>
      </c>
      <c r="F436" s="1" t="s">
        <v>1711</v>
      </c>
      <c r="G436" s="1">
        <v>366.23799000000002</v>
      </c>
      <c r="H436" s="2">
        <v>121858349.14133701</v>
      </c>
      <c r="I436" s="1" t="s">
        <v>17</v>
      </c>
      <c r="J436" s="1">
        <v>366.41037999999998</v>
      </c>
      <c r="K436" s="1">
        <v>365.23070999999999</v>
      </c>
      <c r="L436" s="7">
        <f>G436-J436</f>
        <v>-0.17238999999995031</v>
      </c>
      <c r="M436" s="1" t="s">
        <v>1712</v>
      </c>
      <c r="N436" s="2">
        <v>11946678.1614761</v>
      </c>
      <c r="O436" s="1">
        <v>12265356.006389201</v>
      </c>
      <c r="P436" s="1">
        <v>8423880.85889153</v>
      </c>
      <c r="Q436" s="1">
        <f>STDEV(N436:P436)</f>
        <v>2131845.355272362</v>
      </c>
      <c r="R436" s="1">
        <v>10878638.342252277</v>
      </c>
      <c r="S436" s="1">
        <v>1.3340667808425273E-2</v>
      </c>
    </row>
    <row r="437" spans="1:19" x14ac:dyDescent="0.3">
      <c r="A437" s="1">
        <v>58</v>
      </c>
      <c r="B437" s="1" t="s">
        <v>4488</v>
      </c>
      <c r="C437" s="1" t="s">
        <v>4489</v>
      </c>
      <c r="D437" s="1">
        <v>6.2889999999999997</v>
      </c>
      <c r="E437" s="1" t="s">
        <v>4490</v>
      </c>
      <c r="F437" s="1" t="s">
        <v>4491</v>
      </c>
      <c r="G437" s="1">
        <v>240.17094</v>
      </c>
      <c r="H437" s="2">
        <v>345171.82516970998</v>
      </c>
      <c r="I437" s="1" t="s">
        <v>17</v>
      </c>
      <c r="J437" s="1">
        <v>240.3434</v>
      </c>
      <c r="K437" s="1">
        <v>239.16367</v>
      </c>
      <c r="L437" s="7">
        <f>G437-J437</f>
        <v>-0.17246000000000095</v>
      </c>
      <c r="M437" s="1" t="s">
        <v>4492</v>
      </c>
      <c r="N437" s="2">
        <v>345171.82516970998</v>
      </c>
      <c r="O437" s="1">
        <v>103040.144472851</v>
      </c>
      <c r="P437" s="1">
        <v>114625.62127410001</v>
      </c>
      <c r="Q437" s="1">
        <f>STDEV(N437:P437)</f>
        <v>136573.25641114987</v>
      </c>
      <c r="R437" s="1">
        <v>187612.53030555366</v>
      </c>
      <c r="S437" s="1">
        <v>2.3007258489175252E-4</v>
      </c>
    </row>
    <row r="438" spans="1:19" x14ac:dyDescent="0.3">
      <c r="A438" s="1">
        <v>290</v>
      </c>
      <c r="B438" s="1" t="s">
        <v>1731</v>
      </c>
      <c r="C438" s="1" t="s">
        <v>1732</v>
      </c>
      <c r="D438" s="1">
        <v>0.13200000000000001</v>
      </c>
      <c r="E438" s="1" t="s">
        <v>1733</v>
      </c>
      <c r="F438" s="1" t="s">
        <v>1734</v>
      </c>
      <c r="G438" s="1">
        <v>272.21208000000001</v>
      </c>
      <c r="H438" s="2">
        <v>18417086.391703099</v>
      </c>
      <c r="I438" s="1" t="s">
        <v>156</v>
      </c>
      <c r="J438" s="1">
        <v>272.38526000000002</v>
      </c>
      <c r="K438" s="1">
        <v>255.20885999999999</v>
      </c>
      <c r="L438" s="7">
        <f>G438-J438</f>
        <v>-0.17318000000000211</v>
      </c>
      <c r="M438" s="1" t="s">
        <v>24</v>
      </c>
      <c r="N438" s="2">
        <v>608664.64839700004</v>
      </c>
      <c r="O438" s="1">
        <v>12521684.582834501</v>
      </c>
      <c r="P438" s="1">
        <v>18417086.391703099</v>
      </c>
      <c r="Q438" s="1">
        <f>STDEV(N438:P438)</f>
        <v>9072078.8818749972</v>
      </c>
      <c r="R438" s="1">
        <v>10515811.874311535</v>
      </c>
      <c r="S438" s="1">
        <v>1.2895727253493691E-2</v>
      </c>
    </row>
    <row r="439" spans="1:19" x14ac:dyDescent="0.3">
      <c r="A439" s="1">
        <v>79</v>
      </c>
      <c r="B439" s="1" t="s">
        <v>1594</v>
      </c>
      <c r="C439" s="1" t="s">
        <v>1595</v>
      </c>
      <c r="D439" s="1">
        <v>11.884</v>
      </c>
      <c r="E439" s="1" t="s">
        <v>1596</v>
      </c>
      <c r="F439" s="1" t="s">
        <v>1597</v>
      </c>
      <c r="G439" s="1">
        <v>294.21713999999997</v>
      </c>
      <c r="H439" s="2">
        <v>175030464.27111301</v>
      </c>
      <c r="I439" s="1" t="s">
        <v>23</v>
      </c>
      <c r="J439" s="1">
        <v>294.39078000000001</v>
      </c>
      <c r="K439" s="1">
        <v>295.22440999999998</v>
      </c>
      <c r="L439" s="7">
        <f>G439-J439</f>
        <v>-0.17364000000003443</v>
      </c>
      <c r="M439" s="1" t="s">
        <v>1598</v>
      </c>
      <c r="N439" s="2">
        <v>33057863.980245899</v>
      </c>
      <c r="O439" s="1">
        <v>5125774.8111915197</v>
      </c>
      <c r="P439" s="1">
        <v>1894303.16333643</v>
      </c>
      <c r="Q439" s="1">
        <f>STDEV(N439:P439)</f>
        <v>17135788.753114104</v>
      </c>
      <c r="R439" s="1">
        <v>13359313.984924616</v>
      </c>
      <c r="S439" s="1">
        <v>1.6382764498119245E-2</v>
      </c>
    </row>
    <row r="440" spans="1:19" x14ac:dyDescent="0.3">
      <c r="A440" s="1">
        <v>730</v>
      </c>
      <c r="B440" s="1" t="s">
        <v>1412</v>
      </c>
      <c r="C440" s="1" t="s">
        <v>1413</v>
      </c>
      <c r="D440" s="1">
        <v>10.952999999999999</v>
      </c>
      <c r="E440" s="1" t="s">
        <v>1414</v>
      </c>
      <c r="F440" s="1" t="s">
        <v>1415</v>
      </c>
      <c r="G440" s="1">
        <v>312.22818999999998</v>
      </c>
      <c r="H440" s="2">
        <v>289269112.814982</v>
      </c>
      <c r="I440" s="1" t="s">
        <v>17</v>
      </c>
      <c r="J440" s="1">
        <v>312.40276</v>
      </c>
      <c r="K440" s="1">
        <v>311.22091999999998</v>
      </c>
      <c r="L440" s="7">
        <f>G440-J440</f>
        <v>-0.17457000000001699</v>
      </c>
      <c r="M440" s="1" t="s">
        <v>1416</v>
      </c>
      <c r="N440" s="2">
        <v>9041774.8621109892</v>
      </c>
      <c r="O440" s="1">
        <v>41125890.156419903</v>
      </c>
      <c r="P440" s="1">
        <v>4559025.4042986603</v>
      </c>
      <c r="Q440" s="1">
        <f>STDEV(N440:P440)</f>
        <v>19944176.655187476</v>
      </c>
      <c r="R440" s="1">
        <v>18242230.140943184</v>
      </c>
      <c r="S440" s="1">
        <v>2.2370771482488755E-2</v>
      </c>
    </row>
    <row r="441" spans="1:19" x14ac:dyDescent="0.3">
      <c r="A441" s="1">
        <v>729</v>
      </c>
      <c r="B441" s="1" t="s">
        <v>2171</v>
      </c>
      <c r="C441" s="1" t="s">
        <v>2172</v>
      </c>
      <c r="D441" s="1">
        <v>13.108000000000001</v>
      </c>
      <c r="E441" s="1" t="s">
        <v>2173</v>
      </c>
      <c r="F441" s="1" t="s">
        <v>2174</v>
      </c>
      <c r="G441" s="1">
        <v>314.24405999999999</v>
      </c>
      <c r="H441" s="2">
        <v>184153410.82486001</v>
      </c>
      <c r="I441" s="1" t="s">
        <v>17</v>
      </c>
      <c r="J441" s="1">
        <v>314.41863999999998</v>
      </c>
      <c r="K441" s="1">
        <v>313.23678999999998</v>
      </c>
      <c r="L441" s="7">
        <f>G441-J441</f>
        <v>-0.17457999999999174</v>
      </c>
      <c r="M441" s="1" t="s">
        <v>1347</v>
      </c>
      <c r="N441" s="2">
        <v>8958306.7077065594</v>
      </c>
      <c r="O441" s="1">
        <v>5393386.5232443698</v>
      </c>
      <c r="P441" s="1">
        <v>3257333.7099666102</v>
      </c>
      <c r="Q441" s="1">
        <f>STDEV(N441:P441)</f>
        <v>2880175.6504207002</v>
      </c>
      <c r="R441" s="1">
        <v>5869675.6469725138</v>
      </c>
      <c r="S441" s="1">
        <v>7.1980877096840699E-3</v>
      </c>
    </row>
    <row r="442" spans="1:19" x14ac:dyDescent="0.3">
      <c r="A442" s="1">
        <v>965</v>
      </c>
      <c r="B442" s="1" t="s">
        <v>2683</v>
      </c>
      <c r="C442" s="1" t="s">
        <v>2684</v>
      </c>
      <c r="D442" s="1">
        <v>10.768000000000001</v>
      </c>
      <c r="E442" s="1" t="s">
        <v>2685</v>
      </c>
      <c r="F442" s="1" t="s">
        <v>2686</v>
      </c>
      <c r="G442" s="1">
        <v>316.25986999999998</v>
      </c>
      <c r="H442" s="2">
        <v>4843041.5933861705</v>
      </c>
      <c r="I442" s="1" t="s">
        <v>17</v>
      </c>
      <c r="J442" s="1">
        <v>316.43452000000002</v>
      </c>
      <c r="K442" s="1">
        <v>315.25259</v>
      </c>
      <c r="L442" s="7">
        <f>G442-J442</f>
        <v>-0.17465000000004238</v>
      </c>
      <c r="M442" s="1" t="s">
        <v>2687</v>
      </c>
      <c r="N442" s="2">
        <v>4843041.5933861705</v>
      </c>
      <c r="O442" s="1">
        <v>1488170.4694831099</v>
      </c>
      <c r="P442" s="1">
        <v>1998794.71746616</v>
      </c>
      <c r="Q442" s="1">
        <f>STDEV(N442:P442)</f>
        <v>1807652.1453627618</v>
      </c>
      <c r="R442" s="1">
        <v>2776668.9267784799</v>
      </c>
      <c r="S442" s="1">
        <v>3.4050785218455231E-3</v>
      </c>
    </row>
    <row r="443" spans="1:19" x14ac:dyDescent="0.3">
      <c r="A443" s="1">
        <v>583</v>
      </c>
      <c r="B443" s="1" t="s">
        <v>820</v>
      </c>
      <c r="C443" s="1" t="s">
        <v>821</v>
      </c>
      <c r="D443" s="1">
        <v>1.028</v>
      </c>
      <c r="E443" s="1" t="s">
        <v>822</v>
      </c>
      <c r="F443" s="1" t="s">
        <v>823</v>
      </c>
      <c r="G443" s="1">
        <v>254.06227999999999</v>
      </c>
      <c r="H443" s="2">
        <v>66773375.162320301</v>
      </c>
      <c r="I443" s="1" t="s">
        <v>23</v>
      </c>
      <c r="J443" s="1">
        <v>254.23750000000001</v>
      </c>
      <c r="K443" s="1">
        <v>255.06957</v>
      </c>
      <c r="L443" s="7">
        <f>G443-J443</f>
        <v>-0.17522000000002436</v>
      </c>
      <c r="M443" s="1" t="s">
        <v>824</v>
      </c>
      <c r="N443" s="2">
        <v>66773375.162320301</v>
      </c>
      <c r="O443" s="1">
        <v>44635705.282441601</v>
      </c>
      <c r="P443" s="1">
        <v>50994734.403019398</v>
      </c>
      <c r="Q443" s="1">
        <f>STDEV(N443:P443)</f>
        <v>11397947.061334576</v>
      </c>
      <c r="R443" s="1">
        <v>54134604.949260436</v>
      </c>
      <c r="S443" s="1">
        <v>6.6386229493763826E-2</v>
      </c>
    </row>
    <row r="444" spans="1:19" x14ac:dyDescent="0.3">
      <c r="A444" s="1">
        <v>181</v>
      </c>
      <c r="B444" s="1" t="s">
        <v>2656</v>
      </c>
      <c r="C444" s="1" t="s">
        <v>2657</v>
      </c>
      <c r="D444" s="1">
        <v>7.8079999999999998</v>
      </c>
      <c r="E444" s="1" t="s">
        <v>2658</v>
      </c>
      <c r="F444" s="1" t="s">
        <v>2659</v>
      </c>
      <c r="G444" s="1">
        <v>355.20893999999998</v>
      </c>
      <c r="H444" s="2">
        <v>3944853.72172473</v>
      </c>
      <c r="I444" s="1" t="s">
        <v>17</v>
      </c>
      <c r="J444" s="1">
        <v>355.38443999999998</v>
      </c>
      <c r="K444" s="1">
        <v>354.20166</v>
      </c>
      <c r="L444" s="7">
        <f>G444-J444</f>
        <v>-0.17549999999999955</v>
      </c>
      <c r="M444" s="1" t="s">
        <v>2660</v>
      </c>
      <c r="N444" s="2">
        <v>3944853.72172473</v>
      </c>
      <c r="O444" s="1">
        <v>2067694.3249313601</v>
      </c>
      <c r="P444" s="1">
        <v>2417936.3198015802</v>
      </c>
      <c r="Q444" s="1">
        <f>STDEV(N444:P444)</f>
        <v>998154.43095712387</v>
      </c>
      <c r="R444" s="1">
        <v>2810161.4554858902</v>
      </c>
      <c r="S444" s="1">
        <v>3.4461510058727109E-3</v>
      </c>
    </row>
    <row r="445" spans="1:19" x14ac:dyDescent="0.3">
      <c r="A445" s="1">
        <v>650</v>
      </c>
      <c r="B445" s="1" t="s">
        <v>4440</v>
      </c>
      <c r="C445" s="1" t="s">
        <v>4441</v>
      </c>
      <c r="D445" s="1">
        <v>6.8319999999999999</v>
      </c>
      <c r="E445" s="1" t="s">
        <v>4442</v>
      </c>
      <c r="F445" s="1" t="s">
        <v>4443</v>
      </c>
      <c r="G445" s="1">
        <v>302.14632</v>
      </c>
      <c r="H445" s="2">
        <v>734549.40377963695</v>
      </c>
      <c r="I445" s="1" t="s">
        <v>17</v>
      </c>
      <c r="J445" s="1">
        <v>302.32182</v>
      </c>
      <c r="K445" s="1">
        <v>301.13864000000001</v>
      </c>
      <c r="L445" s="7">
        <f>G445-J445</f>
        <v>-0.17549999999999955</v>
      </c>
      <c r="M445" s="1" t="s">
        <v>4444</v>
      </c>
      <c r="N445" s="2">
        <v>331918.45979327301</v>
      </c>
      <c r="O445" s="1">
        <v>185900.49520088601</v>
      </c>
      <c r="P445" s="1">
        <v>146369.45003788199</v>
      </c>
      <c r="Q445" s="1">
        <f>STDEV(N445:P445)</f>
        <v>97734.661658142213</v>
      </c>
      <c r="R445" s="1">
        <v>221396.13501068033</v>
      </c>
      <c r="S445" s="1">
        <v>2.71502020595278E-4</v>
      </c>
    </row>
    <row r="446" spans="1:19" x14ac:dyDescent="0.3">
      <c r="A446" s="1">
        <v>187</v>
      </c>
      <c r="B446" s="1" t="s">
        <v>2989</v>
      </c>
      <c r="C446" s="1" t="s">
        <v>2990</v>
      </c>
      <c r="D446" s="1">
        <v>7.1020000000000003</v>
      </c>
      <c r="E446" s="1" t="s">
        <v>2991</v>
      </c>
      <c r="F446" s="1" t="s">
        <v>2992</v>
      </c>
      <c r="G446" s="1">
        <v>313.12894999999997</v>
      </c>
      <c r="H446" s="2">
        <v>94118324.633764207</v>
      </c>
      <c r="I446" s="1" t="s">
        <v>23</v>
      </c>
      <c r="J446" s="1">
        <v>313.30470000000003</v>
      </c>
      <c r="K446" s="1">
        <v>314.13619999999997</v>
      </c>
      <c r="L446" s="7">
        <f>G446-J446</f>
        <v>-0.17575000000005048</v>
      </c>
      <c r="M446" s="1" t="s">
        <v>954</v>
      </c>
      <c r="N446" s="2">
        <v>1073439.49044168</v>
      </c>
      <c r="O446" s="1">
        <v>1341485.7043372099</v>
      </c>
      <c r="P446" s="1">
        <v>3464518.6670941701</v>
      </c>
      <c r="Q446" s="1">
        <f>STDEV(N446:P446)</f>
        <v>1309985.8372489801</v>
      </c>
      <c r="R446" s="1">
        <v>1959814.6206243534</v>
      </c>
      <c r="S446" s="1">
        <v>2.403355548487834E-3</v>
      </c>
    </row>
    <row r="447" spans="1:19" x14ac:dyDescent="0.3">
      <c r="A447" s="1">
        <v>677</v>
      </c>
      <c r="B447" s="1" t="s">
        <v>2135</v>
      </c>
      <c r="C447" s="1" t="s">
        <v>2136</v>
      </c>
      <c r="D447" s="1">
        <v>0.61399999999999999</v>
      </c>
      <c r="E447" s="1" t="s">
        <v>2137</v>
      </c>
      <c r="F447" s="1" t="s">
        <v>2138</v>
      </c>
      <c r="G447" s="1">
        <v>336.16198000000003</v>
      </c>
      <c r="H447" s="2">
        <v>25346194.975885101</v>
      </c>
      <c r="I447" s="1" t="s">
        <v>23</v>
      </c>
      <c r="J447" s="1">
        <v>336.33803999999998</v>
      </c>
      <c r="K447" s="1">
        <v>337.16928999999999</v>
      </c>
      <c r="L447" s="7">
        <f>G447-J447</f>
        <v>-0.17605999999994992</v>
      </c>
      <c r="M447" s="1" t="s">
        <v>2139</v>
      </c>
      <c r="N447" s="2">
        <v>3653802.0124063101</v>
      </c>
      <c r="O447" s="1">
        <v>11576910.4782994</v>
      </c>
      <c r="P447" s="1">
        <v>3441829.8584765298</v>
      </c>
      <c r="Q447" s="1">
        <f>STDEV(N447:P447)</f>
        <v>4636811.3441488715</v>
      </c>
      <c r="R447" s="1">
        <v>6224180.7830607472</v>
      </c>
      <c r="S447" s="1">
        <v>7.6328236672684978E-3</v>
      </c>
    </row>
    <row r="448" spans="1:19" x14ac:dyDescent="0.3">
      <c r="A448" s="1">
        <v>325</v>
      </c>
      <c r="B448" s="1" t="s">
        <v>442</v>
      </c>
      <c r="C448" s="1" t="s">
        <v>443</v>
      </c>
      <c r="D448" s="1">
        <v>11.581</v>
      </c>
      <c r="E448" s="1" t="s">
        <v>444</v>
      </c>
      <c r="F448" s="1" t="s">
        <v>445</v>
      </c>
      <c r="G448" s="1">
        <v>234.16016999999999</v>
      </c>
      <c r="H448" s="2">
        <v>157812682.005115</v>
      </c>
      <c r="I448" s="1" t="s">
        <v>23</v>
      </c>
      <c r="J448" s="1">
        <v>234.33727999999999</v>
      </c>
      <c r="K448" s="1">
        <v>235.16747000000001</v>
      </c>
      <c r="L448" s="7">
        <f>G448-J448</f>
        <v>-0.17710999999999899</v>
      </c>
      <c r="M448" s="1" t="s">
        <v>446</v>
      </c>
      <c r="N448" s="2">
        <v>157812682.005115</v>
      </c>
      <c r="O448" s="1">
        <v>124751239.98652799</v>
      </c>
      <c r="P448" s="1">
        <v>72191080.446266994</v>
      </c>
      <c r="Q448" s="1">
        <f>STDEV(N448:P448)</f>
        <v>43179254.225357205</v>
      </c>
      <c r="R448" s="1">
        <v>118251667.47930335</v>
      </c>
      <c r="S448" s="1">
        <v>0.14501412437865271</v>
      </c>
    </row>
    <row r="449" spans="1:19" x14ac:dyDescent="0.3">
      <c r="A449" s="1">
        <v>750</v>
      </c>
      <c r="B449" s="1" t="s">
        <v>739</v>
      </c>
      <c r="C449" s="1" t="s">
        <v>740</v>
      </c>
      <c r="D449" s="1">
        <v>6.56</v>
      </c>
      <c r="E449" s="1" t="s">
        <v>741</v>
      </c>
      <c r="F449" s="1" t="s">
        <v>742</v>
      </c>
      <c r="G449" s="1">
        <v>196.10875999999999</v>
      </c>
      <c r="H449" s="2">
        <v>66825654.0224986</v>
      </c>
      <c r="I449" s="1" t="s">
        <v>23</v>
      </c>
      <c r="J449" s="1">
        <v>196.286</v>
      </c>
      <c r="K449" s="1">
        <v>197.11604</v>
      </c>
      <c r="L449" s="7">
        <f>G449-J449</f>
        <v>-0.17724000000001183</v>
      </c>
      <c r="M449" s="1" t="s">
        <v>743</v>
      </c>
      <c r="N449" s="2">
        <v>54117763.643982202</v>
      </c>
      <c r="O449" s="1">
        <v>66825654.0224986</v>
      </c>
      <c r="P449" s="1">
        <v>64789909.095681302</v>
      </c>
      <c r="Q449" s="1">
        <f>STDEV(N449:P449)</f>
        <v>6825557.6551379524</v>
      </c>
      <c r="R449" s="1">
        <v>61911108.920720704</v>
      </c>
      <c r="S449" s="1">
        <v>7.5922694713975614E-2</v>
      </c>
    </row>
    <row r="450" spans="1:19" x14ac:dyDescent="0.3">
      <c r="A450" s="1">
        <v>568</v>
      </c>
      <c r="B450" s="1" t="s">
        <v>2642</v>
      </c>
      <c r="C450" s="1" t="s">
        <v>2643</v>
      </c>
      <c r="D450" s="1">
        <v>7.3550000000000004</v>
      </c>
      <c r="E450" s="1" t="s">
        <v>2644</v>
      </c>
      <c r="F450" s="1" t="s">
        <v>2645</v>
      </c>
      <c r="G450" s="1">
        <v>302.18615999999997</v>
      </c>
      <c r="H450" s="2">
        <v>77116530.040582299</v>
      </c>
      <c r="I450" s="1" t="s">
        <v>156</v>
      </c>
      <c r="J450" s="1">
        <v>302.36488000000003</v>
      </c>
      <c r="K450" s="1">
        <v>285.18283000000002</v>
      </c>
      <c r="L450" s="7">
        <f>G450-J450</f>
        <v>-0.17872000000005528</v>
      </c>
      <c r="M450" s="1" t="s">
        <v>2646</v>
      </c>
      <c r="N450" s="2">
        <v>2240314.4257137901</v>
      </c>
      <c r="O450" s="1">
        <v>2984562.0079872799</v>
      </c>
      <c r="P450" s="1">
        <v>3332604.7063684301</v>
      </c>
      <c r="Q450" s="1">
        <f>STDEV(N450:P450)</f>
        <v>557992.86746172677</v>
      </c>
      <c r="R450" s="1">
        <v>2852493.7133565</v>
      </c>
      <c r="S450" s="1">
        <v>3.4980638070951733E-3</v>
      </c>
    </row>
    <row r="451" spans="1:19" x14ac:dyDescent="0.3">
      <c r="A451" s="1">
        <v>509</v>
      </c>
      <c r="B451" s="1" t="s">
        <v>2117</v>
      </c>
      <c r="C451" s="1" t="s">
        <v>2118</v>
      </c>
      <c r="D451" s="1">
        <v>9.4</v>
      </c>
      <c r="E451" s="1" t="s">
        <v>2119</v>
      </c>
      <c r="F451" s="1" t="s">
        <v>2120</v>
      </c>
      <c r="G451" s="1">
        <v>300.17027000000002</v>
      </c>
      <c r="H451" s="2">
        <v>8018310.3141308902</v>
      </c>
      <c r="I451" s="1" t="s">
        <v>23</v>
      </c>
      <c r="J451" s="1">
        <v>300.34899999999999</v>
      </c>
      <c r="K451" s="1">
        <v>301.17755</v>
      </c>
      <c r="L451" s="7">
        <f>G451-J451</f>
        <v>-0.17872999999997319</v>
      </c>
      <c r="M451" s="1" t="s">
        <v>24</v>
      </c>
      <c r="N451" s="2">
        <v>8018310.3141308902</v>
      </c>
      <c r="O451" s="1">
        <v>7668165.8966161404</v>
      </c>
      <c r="P451" s="1">
        <v>3264728.4214351601</v>
      </c>
      <c r="Q451" s="1">
        <f>STDEV(N451:P451)</f>
        <v>2649194.9570108335</v>
      </c>
      <c r="R451" s="1">
        <v>6317068.2107273964</v>
      </c>
      <c r="S451" s="1">
        <v>7.7467331729524002E-3</v>
      </c>
    </row>
    <row r="452" spans="1:19" x14ac:dyDescent="0.3">
      <c r="A452" s="1">
        <v>718</v>
      </c>
      <c r="B452" s="1" t="s">
        <v>3574</v>
      </c>
      <c r="C452" s="1" t="s">
        <v>3575</v>
      </c>
      <c r="D452" s="1">
        <v>12.721</v>
      </c>
      <c r="E452" s="1" t="s">
        <v>3576</v>
      </c>
      <c r="F452" s="1" t="s">
        <v>3577</v>
      </c>
      <c r="G452" s="1">
        <v>330.23923000000002</v>
      </c>
      <c r="H452" s="2">
        <v>5712662.67612442</v>
      </c>
      <c r="I452" s="1" t="s">
        <v>17</v>
      </c>
      <c r="J452" s="1">
        <v>330.41804000000002</v>
      </c>
      <c r="K452" s="1">
        <v>329.23156999999998</v>
      </c>
      <c r="L452" s="7">
        <f>G452-J452</f>
        <v>-0.17880999999999858</v>
      </c>
      <c r="M452" s="1" t="s">
        <v>873</v>
      </c>
      <c r="N452" s="2">
        <v>459574.27694741701</v>
      </c>
      <c r="O452" s="1">
        <v>1348796.86708421</v>
      </c>
      <c r="P452" s="1">
        <v>993769.71663469099</v>
      </c>
      <c r="Q452" s="1">
        <f>STDEV(N452:P452)</f>
        <v>447609.55086410098</v>
      </c>
      <c r="R452" s="1">
        <v>934046.95355543925</v>
      </c>
      <c r="S452" s="1">
        <v>1.1454384025671085E-3</v>
      </c>
    </row>
    <row r="453" spans="1:19" x14ac:dyDescent="0.3">
      <c r="A453" s="1">
        <v>964</v>
      </c>
      <c r="B453" s="1" t="s">
        <v>2339</v>
      </c>
      <c r="C453" s="1" t="s">
        <v>2340</v>
      </c>
      <c r="D453" s="1">
        <v>10.369</v>
      </c>
      <c r="E453" s="1" t="s">
        <v>2341</v>
      </c>
      <c r="F453" s="1" t="s">
        <v>2342</v>
      </c>
      <c r="G453" s="1">
        <v>332.25490000000002</v>
      </c>
      <c r="H453" s="2">
        <v>48367242.733808599</v>
      </c>
      <c r="I453" s="1" t="s">
        <v>17</v>
      </c>
      <c r="J453" s="1">
        <v>332.43392</v>
      </c>
      <c r="K453" s="1">
        <v>331.24761999999998</v>
      </c>
      <c r="L453" s="7">
        <f>G453-J453</f>
        <v>-0.17901999999997997</v>
      </c>
      <c r="M453" s="1" t="s">
        <v>2343</v>
      </c>
      <c r="N453" s="2">
        <v>12236801.964567401</v>
      </c>
      <c r="O453" s="1">
        <v>747475.98267955706</v>
      </c>
      <c r="P453" s="1">
        <v>802503.20741833199</v>
      </c>
      <c r="Q453" s="1">
        <f>STDEV(N453:P453)</f>
        <v>6617537.6536050811</v>
      </c>
      <c r="R453" s="1">
        <v>4595593.7182217631</v>
      </c>
      <c r="S453" s="1">
        <v>5.6356583653638971E-3</v>
      </c>
    </row>
    <row r="454" spans="1:19" x14ac:dyDescent="0.3">
      <c r="A454" s="1">
        <v>477</v>
      </c>
      <c r="B454" s="1" t="s">
        <v>2335</v>
      </c>
      <c r="C454" s="1" t="s">
        <v>2336</v>
      </c>
      <c r="D454" s="1">
        <v>14.381</v>
      </c>
      <c r="E454" s="1" t="s">
        <v>2337</v>
      </c>
      <c r="F454" s="1" t="s">
        <v>2338</v>
      </c>
      <c r="G454" s="1">
        <v>580.35517000000004</v>
      </c>
      <c r="H454" s="2">
        <v>6454594.0942181097</v>
      </c>
      <c r="I454" s="1" t="s">
        <v>23</v>
      </c>
      <c r="J454" s="1">
        <v>580.53458000000001</v>
      </c>
      <c r="K454" s="1">
        <v>581.36244999999997</v>
      </c>
      <c r="L454" s="7">
        <f>G454-J454</f>
        <v>-0.17940999999996166</v>
      </c>
      <c r="M454" s="1" t="s">
        <v>24</v>
      </c>
      <c r="N454" s="2">
        <v>6454594.0942181097</v>
      </c>
      <c r="O454" s="1">
        <v>5698599.6154611399</v>
      </c>
      <c r="P454" s="1">
        <v>1750044.08275986</v>
      </c>
      <c r="Q454" s="1">
        <f>STDEV(N454:P454)</f>
        <v>2526374.5188526814</v>
      </c>
      <c r="R454" s="1">
        <v>4634412.5974797038</v>
      </c>
      <c r="S454" s="1">
        <v>5.6832626478653349E-3</v>
      </c>
    </row>
    <row r="455" spans="1:19" x14ac:dyDescent="0.3">
      <c r="A455" s="1">
        <v>732</v>
      </c>
      <c r="B455" s="1" t="s">
        <v>3301</v>
      </c>
      <c r="C455" s="1" t="s">
        <v>3302</v>
      </c>
      <c r="D455" s="1">
        <v>9.2919999999999998</v>
      </c>
      <c r="E455" s="1" t="s">
        <v>3303</v>
      </c>
      <c r="F455" s="1" t="s">
        <v>3304</v>
      </c>
      <c r="G455" s="1">
        <v>332.25445999999999</v>
      </c>
      <c r="H455" s="2">
        <v>19366058.059124701</v>
      </c>
      <c r="I455" s="1" t="s">
        <v>17</v>
      </c>
      <c r="J455" s="1">
        <v>332.43392</v>
      </c>
      <c r="K455" s="1">
        <v>331.24718000000001</v>
      </c>
      <c r="L455" s="7">
        <f>G455-J455</f>
        <v>-0.17946000000000595</v>
      </c>
      <c r="M455" s="1" t="s">
        <v>3305</v>
      </c>
      <c r="N455" s="2">
        <v>1996657.10361508</v>
      </c>
      <c r="O455" s="1">
        <v>892335.16795762302</v>
      </c>
      <c r="P455" s="1">
        <v>987703.09553655295</v>
      </c>
      <c r="Q455" s="1">
        <f>STDEV(N455:P455)</f>
        <v>611910.96432986867</v>
      </c>
      <c r="R455" s="1">
        <v>1292231.7890364185</v>
      </c>
      <c r="S455" s="1">
        <v>1.584686841005213E-3</v>
      </c>
    </row>
    <row r="456" spans="1:19" x14ac:dyDescent="0.3">
      <c r="A456" s="1">
        <v>393</v>
      </c>
      <c r="B456" s="1" t="s">
        <v>711</v>
      </c>
      <c r="C456" s="1" t="s">
        <v>712</v>
      </c>
      <c r="D456" s="1">
        <v>1.409</v>
      </c>
      <c r="E456" s="1" t="s">
        <v>713</v>
      </c>
      <c r="F456" s="1" t="s">
        <v>714</v>
      </c>
      <c r="G456" s="1">
        <v>175.00253000000001</v>
      </c>
      <c r="H456" s="2">
        <v>76862417.560515001</v>
      </c>
      <c r="I456" s="1" t="s">
        <v>23</v>
      </c>
      <c r="J456" s="1">
        <v>175.18242000000001</v>
      </c>
      <c r="K456" s="1">
        <v>176.00980000000001</v>
      </c>
      <c r="L456" s="7">
        <f>G456-J456</f>
        <v>-0.17989000000000033</v>
      </c>
      <c r="M456" s="1" t="s">
        <v>715</v>
      </c>
      <c r="N456" s="2">
        <v>76862417.560515001</v>
      </c>
      <c r="O456" s="1">
        <v>51887710.288045198</v>
      </c>
      <c r="P456" s="1">
        <v>63955939.245842896</v>
      </c>
      <c r="Q456" s="1">
        <f>STDEV(N456:P456)</f>
        <v>12489697.994817488</v>
      </c>
      <c r="R456" s="1">
        <v>64235355.698134363</v>
      </c>
      <c r="S456" s="1">
        <v>7.8772959902206799E-2</v>
      </c>
    </row>
    <row r="457" spans="1:19" x14ac:dyDescent="0.3">
      <c r="A457" s="1">
        <v>660</v>
      </c>
      <c r="B457" s="1" t="s">
        <v>4181</v>
      </c>
      <c r="C457" s="1" t="s">
        <v>4182</v>
      </c>
      <c r="D457" s="1">
        <v>9.298</v>
      </c>
      <c r="E457" s="1" t="s">
        <v>4183</v>
      </c>
      <c r="F457" s="1" t="s">
        <v>4184</v>
      </c>
      <c r="G457" s="1">
        <v>404.27492000000001</v>
      </c>
      <c r="H457" s="2">
        <v>3865633.7951573101</v>
      </c>
      <c r="I457" s="1" t="s">
        <v>17</v>
      </c>
      <c r="J457" s="1">
        <v>404.45506</v>
      </c>
      <c r="K457" s="1">
        <v>403.26755000000003</v>
      </c>
      <c r="L457" s="7">
        <f>G457-J457</f>
        <v>-0.18013999999999442</v>
      </c>
      <c r="M457" s="1" t="s">
        <v>24</v>
      </c>
      <c r="N457" s="2">
        <v>354856.07234039402</v>
      </c>
      <c r="O457" s="1">
        <v>474315.03177244699</v>
      </c>
      <c r="P457" s="1">
        <v>455742.78698024002</v>
      </c>
      <c r="Q457" s="1">
        <f>STDEV(N457:P457)</f>
        <v>64282.579879819947</v>
      </c>
      <c r="R457" s="1">
        <v>428304.63036436029</v>
      </c>
      <c r="S457" s="1">
        <v>5.2523759083973056E-4</v>
      </c>
    </row>
    <row r="458" spans="1:19" x14ac:dyDescent="0.3">
      <c r="A458" s="1">
        <v>991</v>
      </c>
      <c r="B458" s="1" t="s">
        <v>2426</v>
      </c>
      <c r="C458" s="1" t="s">
        <v>2427</v>
      </c>
      <c r="D458" s="1">
        <v>12.337</v>
      </c>
      <c r="E458" s="1" t="s">
        <v>2428</v>
      </c>
      <c r="F458" s="1" t="s">
        <v>2429</v>
      </c>
      <c r="G458" s="1">
        <v>332.21055000000001</v>
      </c>
      <c r="H458" s="2">
        <v>9007801.3104672991</v>
      </c>
      <c r="I458" s="1" t="s">
        <v>17</v>
      </c>
      <c r="J458" s="1">
        <v>332.39085999999998</v>
      </c>
      <c r="K458" s="1">
        <v>331.20328000000001</v>
      </c>
      <c r="L458" s="7">
        <f>G458-J458</f>
        <v>-0.18030999999996311</v>
      </c>
      <c r="M458" s="1" t="s">
        <v>2430</v>
      </c>
      <c r="N458" s="2">
        <v>9007801.3104672991</v>
      </c>
      <c r="O458" s="1">
        <v>2249495.9310963401</v>
      </c>
      <c r="P458" s="1">
        <v>797942.28923243901</v>
      </c>
      <c r="Q458" s="1">
        <f>STDEV(N458:P458)</f>
        <v>4381466.358891625</v>
      </c>
      <c r="R458" s="1">
        <v>4018413.1769320257</v>
      </c>
      <c r="S458" s="1">
        <v>4.9278515953817548E-3</v>
      </c>
    </row>
    <row r="459" spans="1:19" x14ac:dyDescent="0.3">
      <c r="A459" s="1">
        <v>468</v>
      </c>
      <c r="B459" s="1" t="s">
        <v>3274</v>
      </c>
      <c r="C459" s="1" t="s">
        <v>3275</v>
      </c>
      <c r="D459" s="1">
        <v>1.8360000000000001</v>
      </c>
      <c r="E459" s="1" t="s">
        <v>3276</v>
      </c>
      <c r="F459" s="1" t="s">
        <v>3277</v>
      </c>
      <c r="G459" s="1">
        <v>302.09836999999999</v>
      </c>
      <c r="H459" s="2">
        <v>3834616.8746011299</v>
      </c>
      <c r="I459" s="1" t="s">
        <v>17</v>
      </c>
      <c r="J459" s="1">
        <v>302.27875999999998</v>
      </c>
      <c r="K459" s="1">
        <v>301.09109000000001</v>
      </c>
      <c r="L459" s="7">
        <f>G459-J459</f>
        <v>-0.1803899999999885</v>
      </c>
      <c r="M459" s="1" t="s">
        <v>3278</v>
      </c>
      <c r="N459" s="2">
        <v>1131434.89603399</v>
      </c>
      <c r="O459" s="1">
        <v>1736671.30812737</v>
      </c>
      <c r="P459" s="1">
        <v>1280736.81608949</v>
      </c>
      <c r="Q459" s="1">
        <f>STDEV(N459:P459)</f>
        <v>315298.38748022157</v>
      </c>
      <c r="R459" s="1">
        <v>1382947.67341695</v>
      </c>
      <c r="S459" s="1">
        <v>1.6959333445099546E-3</v>
      </c>
    </row>
    <row r="460" spans="1:19" x14ac:dyDescent="0.3">
      <c r="A460" s="1">
        <v>476</v>
      </c>
      <c r="B460" s="1" t="s">
        <v>491</v>
      </c>
      <c r="C460" s="1" t="s">
        <v>492</v>
      </c>
      <c r="D460" s="1">
        <v>12.03</v>
      </c>
      <c r="E460" s="1" t="s">
        <v>493</v>
      </c>
      <c r="F460" s="1" t="s">
        <v>494</v>
      </c>
      <c r="G460" s="1">
        <v>580.35416999999995</v>
      </c>
      <c r="H460" s="2">
        <v>1344201823.3296399</v>
      </c>
      <c r="I460" s="1" t="s">
        <v>23</v>
      </c>
      <c r="J460" s="1">
        <v>580.53458000000001</v>
      </c>
      <c r="K460" s="1">
        <v>581.36144999999999</v>
      </c>
      <c r="L460" s="7">
        <f>G460-J460</f>
        <v>-0.1804100000000517</v>
      </c>
      <c r="M460" s="1" t="s">
        <v>495</v>
      </c>
      <c r="N460" s="2">
        <v>175147914.540012</v>
      </c>
      <c r="O460" s="1">
        <v>109887250.59371901</v>
      </c>
      <c r="P460" s="1">
        <v>32422270.3274852</v>
      </c>
      <c r="Q460" s="1">
        <f>STDEV(N460:P460)</f>
        <v>71449734.011914238</v>
      </c>
      <c r="R460" s="1">
        <v>105819145.15373874</v>
      </c>
      <c r="S460" s="1">
        <v>0.12976790098670477</v>
      </c>
    </row>
    <row r="461" spans="1:19" x14ac:dyDescent="0.3">
      <c r="A461" s="1">
        <v>315</v>
      </c>
      <c r="B461" s="1" t="s">
        <v>2893</v>
      </c>
      <c r="C461" s="1" t="s">
        <v>2894</v>
      </c>
      <c r="D461" s="1">
        <v>0.81499999999999995</v>
      </c>
      <c r="E461" s="1" t="s">
        <v>2895</v>
      </c>
      <c r="F461" s="1" t="s">
        <v>2896</v>
      </c>
      <c r="G461" s="1">
        <v>207.04465999999999</v>
      </c>
      <c r="H461" s="2">
        <v>5994201.0635750098</v>
      </c>
      <c r="I461" s="1" t="s">
        <v>17</v>
      </c>
      <c r="J461" s="1">
        <v>207.22582</v>
      </c>
      <c r="K461" s="1">
        <v>206.03689</v>
      </c>
      <c r="L461" s="7">
        <f>G461-J461</f>
        <v>-0.18116000000000554</v>
      </c>
      <c r="M461" s="1" t="s">
        <v>24</v>
      </c>
      <c r="N461" s="2">
        <v>1485255.6863279</v>
      </c>
      <c r="O461" s="1">
        <v>2798158.2575833099</v>
      </c>
      <c r="P461" s="1">
        <v>2189234.1497846399</v>
      </c>
      <c r="Q461" s="1">
        <f>STDEV(N461:P461)</f>
        <v>657024.53121102438</v>
      </c>
      <c r="R461" s="1">
        <v>2157549.3645652831</v>
      </c>
      <c r="S461" s="1">
        <v>2.6458411841077259E-3</v>
      </c>
    </row>
    <row r="462" spans="1:19" x14ac:dyDescent="0.3">
      <c r="A462" s="1">
        <v>576</v>
      </c>
      <c r="B462" s="1" t="s">
        <v>2406</v>
      </c>
      <c r="C462" s="1" t="s">
        <v>2407</v>
      </c>
      <c r="D462" s="1">
        <v>7.06</v>
      </c>
      <c r="E462" s="1" t="s">
        <v>2408</v>
      </c>
      <c r="F462" s="1" t="s">
        <v>2409</v>
      </c>
      <c r="G462" s="1">
        <v>254.05611999999999</v>
      </c>
      <c r="H462" s="2">
        <v>66415119.551691197</v>
      </c>
      <c r="I462" s="1" t="s">
        <v>23</v>
      </c>
      <c r="J462" s="1">
        <v>254.23750000000001</v>
      </c>
      <c r="K462" s="1">
        <v>255.0634</v>
      </c>
      <c r="L462" s="7">
        <f>G462-J462</f>
        <v>-0.18138000000001853</v>
      </c>
      <c r="M462" s="1" t="s">
        <v>2410</v>
      </c>
      <c r="N462" s="2">
        <v>2278839.3606200698</v>
      </c>
      <c r="O462" s="1">
        <v>4985996.9957016399</v>
      </c>
      <c r="P462" s="1">
        <v>4989698.9847003799</v>
      </c>
      <c r="Q462" s="1">
        <f>STDEV(N462:P462)</f>
        <v>1564047.9568186637</v>
      </c>
      <c r="R462" s="1">
        <v>4084845.1136740297</v>
      </c>
      <c r="S462" s="1">
        <v>5.0093182617110543E-3</v>
      </c>
    </row>
    <row r="463" spans="1:19" x14ac:dyDescent="0.3">
      <c r="A463" s="1">
        <v>522</v>
      </c>
      <c r="B463" s="1" t="s">
        <v>3487</v>
      </c>
      <c r="C463" s="1" t="s">
        <v>3488</v>
      </c>
      <c r="D463" s="1">
        <v>9.7750000000000004</v>
      </c>
      <c r="E463" s="1" t="s">
        <v>3489</v>
      </c>
      <c r="F463" s="1" t="s">
        <v>3490</v>
      </c>
      <c r="G463" s="1">
        <v>254.05610999999999</v>
      </c>
      <c r="H463" s="2">
        <v>263180735.32083201</v>
      </c>
      <c r="I463" s="1" t="s">
        <v>17</v>
      </c>
      <c r="J463" s="1">
        <v>254.23750000000001</v>
      </c>
      <c r="K463" s="1">
        <v>253.04886999999999</v>
      </c>
      <c r="L463" s="7">
        <f>G463-J463</f>
        <v>-0.1813900000000217</v>
      </c>
      <c r="M463" s="1" t="s">
        <v>3491</v>
      </c>
      <c r="N463" s="2">
        <v>769917.146655399</v>
      </c>
      <c r="O463" s="1">
        <v>1238355.0783597799</v>
      </c>
      <c r="P463" s="1">
        <v>1189285.80807554</v>
      </c>
      <c r="Q463" s="1">
        <f>STDEV(N463:P463)</f>
        <v>257459.37003956741</v>
      </c>
      <c r="R463" s="1">
        <v>1065852.6776969063</v>
      </c>
      <c r="S463" s="1">
        <v>1.3070741078548534E-3</v>
      </c>
    </row>
    <row r="464" spans="1:19" x14ac:dyDescent="0.3">
      <c r="A464" s="1">
        <v>800</v>
      </c>
      <c r="B464" s="1" t="s">
        <v>3104</v>
      </c>
      <c r="C464" s="1" t="s">
        <v>3105</v>
      </c>
      <c r="D464" s="1">
        <v>16.866</v>
      </c>
      <c r="E464" s="1" t="s">
        <v>3106</v>
      </c>
      <c r="F464" s="1" t="s">
        <v>3107</v>
      </c>
      <c r="G464" s="1">
        <v>462.43729999999999</v>
      </c>
      <c r="H464" s="2">
        <v>21600587.3500765</v>
      </c>
      <c r="I464" s="1" t="s">
        <v>23</v>
      </c>
      <c r="J464" s="1">
        <v>462.61878000000002</v>
      </c>
      <c r="K464" s="1">
        <v>463.44457999999997</v>
      </c>
      <c r="L464" s="7">
        <f>G464-J464</f>
        <v>-0.18148000000002185</v>
      </c>
      <c r="M464" s="1" t="s">
        <v>3108</v>
      </c>
      <c r="N464" s="2">
        <v>1447368.89142751</v>
      </c>
      <c r="O464" s="1">
        <v>1861994.41373501</v>
      </c>
      <c r="P464" s="1">
        <v>1935872.1092799101</v>
      </c>
      <c r="Q464" s="1">
        <f>STDEV(N464:P464)</f>
        <v>263314.65065580618</v>
      </c>
      <c r="R464" s="1">
        <v>1748411.8048141433</v>
      </c>
      <c r="S464" s="1">
        <v>2.1441085130812104E-3</v>
      </c>
    </row>
    <row r="465" spans="1:19" x14ac:dyDescent="0.3">
      <c r="A465" s="1">
        <v>385</v>
      </c>
      <c r="B465" s="1" t="s">
        <v>3382</v>
      </c>
      <c r="C465" s="1" t="s">
        <v>3383</v>
      </c>
      <c r="D465" s="1">
        <v>7.819</v>
      </c>
      <c r="E465" s="1" t="s">
        <v>3384</v>
      </c>
      <c r="F465" s="1" t="s">
        <v>3385</v>
      </c>
      <c r="G465" s="1">
        <v>285.15611000000001</v>
      </c>
      <c r="H465" s="2">
        <v>1436796.3138263801</v>
      </c>
      <c r="I465" s="1" t="s">
        <v>17</v>
      </c>
      <c r="J465" s="1">
        <v>285.33766000000003</v>
      </c>
      <c r="K465" s="1">
        <v>284.14884000000001</v>
      </c>
      <c r="L465" s="7">
        <f>G465-J465</f>
        <v>-0.18155000000001564</v>
      </c>
      <c r="M465" s="1" t="s">
        <v>3386</v>
      </c>
      <c r="N465" s="2">
        <v>1007213.5026139501</v>
      </c>
      <c r="O465" s="1">
        <v>1040621.62246223</v>
      </c>
      <c r="P465" s="1">
        <v>1436796.3138263801</v>
      </c>
      <c r="Q465" s="1">
        <f>STDEV(N465:P465)</f>
        <v>238960.20597526681</v>
      </c>
      <c r="R465" s="1">
        <v>1161543.81296752</v>
      </c>
      <c r="S465" s="1">
        <v>1.4244218500716467E-3</v>
      </c>
    </row>
    <row r="466" spans="1:19" x14ac:dyDescent="0.3">
      <c r="A466" s="1">
        <v>841</v>
      </c>
      <c r="B466" s="1" t="s">
        <v>3423</v>
      </c>
      <c r="C466" s="1" t="s">
        <v>3424</v>
      </c>
      <c r="D466" s="1">
        <v>15.132</v>
      </c>
      <c r="E466" s="1" t="s">
        <v>3425</v>
      </c>
      <c r="F466" s="1" t="s">
        <v>3426</v>
      </c>
      <c r="G466" s="1">
        <v>394.32164</v>
      </c>
      <c r="H466" s="2">
        <v>10071535.780199699</v>
      </c>
      <c r="I466" s="1" t="s">
        <v>23</v>
      </c>
      <c r="J466" s="1">
        <v>394.50330000000002</v>
      </c>
      <c r="K466" s="1">
        <v>395.32891999999998</v>
      </c>
      <c r="L466" s="7">
        <f>G466-J466</f>
        <v>-0.18166000000002214</v>
      </c>
      <c r="M466" s="1" t="s">
        <v>3427</v>
      </c>
      <c r="N466" s="2">
        <v>1103751.31572447</v>
      </c>
      <c r="O466" s="1">
        <v>1165384.0888702499</v>
      </c>
      <c r="P466" s="1">
        <v>1111775.4278356601</v>
      </c>
      <c r="Q466" s="1">
        <f>STDEV(N466:P466)</f>
        <v>33508.39108525325</v>
      </c>
      <c r="R466" s="1">
        <v>1126970.2774767934</v>
      </c>
      <c r="S466" s="1">
        <v>1.3820237081871825E-3</v>
      </c>
    </row>
    <row r="467" spans="1:19" x14ac:dyDescent="0.3">
      <c r="A467" s="1">
        <v>1011</v>
      </c>
      <c r="B467" s="1" t="s">
        <v>3456</v>
      </c>
      <c r="C467" s="1" t="s">
        <v>3457</v>
      </c>
      <c r="D467" s="1">
        <v>12.122999999999999</v>
      </c>
      <c r="E467" s="1"/>
      <c r="F467" s="1" t="s">
        <v>3458</v>
      </c>
      <c r="G467" s="1">
        <v>264.13821999999999</v>
      </c>
      <c r="H467" s="2">
        <v>1479663.7363939099</v>
      </c>
      <c r="I467" s="1" t="s">
        <v>17</v>
      </c>
      <c r="J467" s="1">
        <v>264.32</v>
      </c>
      <c r="K467" s="1">
        <v>263.13094000000001</v>
      </c>
      <c r="L467" s="7">
        <f>G467-J467</f>
        <v>-0.18178000000000338</v>
      </c>
      <c r="M467" s="1" t="s">
        <v>24</v>
      </c>
      <c r="N467" s="2">
        <v>782555.78922186699</v>
      </c>
      <c r="O467" s="1">
        <v>1064748.25291731</v>
      </c>
      <c r="P467" s="1">
        <v>1479663.7363939099</v>
      </c>
      <c r="Q467" s="1">
        <f>STDEV(N467:P467)</f>
        <v>350653.42220050248</v>
      </c>
      <c r="R467" s="1">
        <v>1108989.2595110291</v>
      </c>
      <c r="S467" s="1">
        <v>1.3599732658439614E-3</v>
      </c>
    </row>
    <row r="468" spans="1:19" x14ac:dyDescent="0.3">
      <c r="A468" s="1">
        <v>708</v>
      </c>
      <c r="B468" s="1" t="s">
        <v>2311</v>
      </c>
      <c r="C468" s="1" t="s">
        <v>2312</v>
      </c>
      <c r="D468" s="1">
        <v>20.053000000000001</v>
      </c>
      <c r="E468" s="1" t="s">
        <v>2313</v>
      </c>
      <c r="F468" s="1" t="s">
        <v>2314</v>
      </c>
      <c r="G468" s="1">
        <v>578.3383</v>
      </c>
      <c r="H468" s="2">
        <v>147040815.261464</v>
      </c>
      <c r="I468" s="1" t="s">
        <v>23</v>
      </c>
      <c r="J468" s="1">
        <v>578.52023999999994</v>
      </c>
      <c r="K468" s="1">
        <v>579.34558000000004</v>
      </c>
      <c r="L468" s="7">
        <f>G468-J468</f>
        <v>-0.18193999999994048</v>
      </c>
      <c r="M468" s="1" t="s">
        <v>2315</v>
      </c>
      <c r="N468" s="2">
        <v>4041052.9363876502</v>
      </c>
      <c r="O468" s="1">
        <v>6144123.4374142</v>
      </c>
      <c r="P468" s="1">
        <v>4085353.5863117599</v>
      </c>
      <c r="Q468" s="1">
        <f>STDEV(N468:P468)</f>
        <v>1201623.9969086384</v>
      </c>
      <c r="R468" s="1">
        <v>4756843.3200378697</v>
      </c>
      <c r="S468" s="1">
        <v>5.8334016218626831E-3</v>
      </c>
    </row>
    <row r="469" spans="1:19" x14ac:dyDescent="0.3">
      <c r="A469" s="1">
        <v>1010</v>
      </c>
      <c r="B469" s="1" t="s">
        <v>2618</v>
      </c>
      <c r="C469" s="1" t="s">
        <v>2619</v>
      </c>
      <c r="D469" s="1">
        <v>7.7930000000000001</v>
      </c>
      <c r="E469" s="1" t="s">
        <v>2620</v>
      </c>
      <c r="F469" s="1" t="s">
        <v>2621</v>
      </c>
      <c r="G469" s="1">
        <v>264.13459999999998</v>
      </c>
      <c r="H469" s="2">
        <v>26055842.404655501</v>
      </c>
      <c r="I469" s="1" t="s">
        <v>17</v>
      </c>
      <c r="J469" s="1">
        <v>264.31689999999998</v>
      </c>
      <c r="K469" s="1">
        <v>263.12732</v>
      </c>
      <c r="L469" s="7">
        <f>G469-J469</f>
        <v>-0.18229999999999791</v>
      </c>
      <c r="M469" s="1" t="s">
        <v>2622</v>
      </c>
      <c r="N469" s="2">
        <v>2622754.96919451</v>
      </c>
      <c r="O469" s="1">
        <v>2950447.8459588401</v>
      </c>
      <c r="P469" s="1">
        <v>3162176.6576271299</v>
      </c>
      <c r="Q469" s="1">
        <f>STDEV(N469:P469)</f>
        <v>271780.38595038676</v>
      </c>
      <c r="R469" s="1">
        <v>2911793.1575934938</v>
      </c>
      <c r="S469" s="1">
        <v>3.5707837709271716E-3</v>
      </c>
    </row>
    <row r="470" spans="1:19" x14ac:dyDescent="0.3">
      <c r="A470" s="1">
        <v>410</v>
      </c>
      <c r="B470" s="1" t="s">
        <v>472</v>
      </c>
      <c r="C470" s="1" t="s">
        <v>473</v>
      </c>
      <c r="D470" s="1">
        <v>1.401</v>
      </c>
      <c r="E470" s="1" t="s">
        <v>474</v>
      </c>
      <c r="F470" s="1" t="s">
        <v>475</v>
      </c>
      <c r="G470" s="1">
        <v>153.03909999999999</v>
      </c>
      <c r="H470" s="2">
        <v>343107107.16965997</v>
      </c>
      <c r="I470" s="1" t="s">
        <v>344</v>
      </c>
      <c r="J470" s="1">
        <v>153.22149999999999</v>
      </c>
      <c r="K470" s="1">
        <v>186.07254</v>
      </c>
      <c r="L470" s="7">
        <f>G470-J470</f>
        <v>-0.18240000000000123</v>
      </c>
      <c r="M470" s="1" t="s">
        <v>476</v>
      </c>
      <c r="N470" s="2">
        <v>72613227.153100595</v>
      </c>
      <c r="O470" s="1">
        <v>36243437.581431501</v>
      </c>
      <c r="P470" s="1">
        <v>223320930.442368</v>
      </c>
      <c r="Q470" s="1">
        <f>STDEV(N470:P470)</f>
        <v>99191365.349465698</v>
      </c>
      <c r="R470" s="1">
        <v>110725865.0589667</v>
      </c>
      <c r="S470" s="1">
        <v>0.13578509893236987</v>
      </c>
    </row>
    <row r="471" spans="1:19" x14ac:dyDescent="0.3">
      <c r="A471" s="1">
        <v>641</v>
      </c>
      <c r="B471" s="1" t="s">
        <v>2623</v>
      </c>
      <c r="C471" s="1" t="s">
        <v>2624</v>
      </c>
      <c r="D471" s="1">
        <v>15.746</v>
      </c>
      <c r="E471" s="1" t="s">
        <v>2625</v>
      </c>
      <c r="F471" s="1" t="s">
        <v>2626</v>
      </c>
      <c r="G471" s="1">
        <v>392.30470000000003</v>
      </c>
      <c r="H471" s="2">
        <v>1368461483.44151</v>
      </c>
      <c r="I471" s="1" t="s">
        <v>23</v>
      </c>
      <c r="J471" s="1">
        <v>392.48741999999999</v>
      </c>
      <c r="K471" s="1">
        <v>393.31198000000001</v>
      </c>
      <c r="L471" s="7">
        <f>G471-J471</f>
        <v>-0.18271999999996069</v>
      </c>
      <c r="M471" s="1" t="s">
        <v>2627</v>
      </c>
      <c r="N471" s="2">
        <v>2668386.95729576</v>
      </c>
      <c r="O471" s="1">
        <v>3105683.0776553801</v>
      </c>
      <c r="P471" s="1">
        <v>2939093.5257298499</v>
      </c>
      <c r="Q471" s="1">
        <f>STDEV(N471:P471)</f>
        <v>220704.18433040066</v>
      </c>
      <c r="R471" s="1">
        <v>2904387.8535603299</v>
      </c>
      <c r="S471" s="1">
        <v>3.5617025147976129E-3</v>
      </c>
    </row>
    <row r="472" spans="1:19" x14ac:dyDescent="0.3">
      <c r="A472" s="1">
        <v>528</v>
      </c>
      <c r="B472" s="1" t="s">
        <v>4060</v>
      </c>
      <c r="C472" s="1" t="s">
        <v>4061</v>
      </c>
      <c r="D472" s="1">
        <v>14.948</v>
      </c>
      <c r="E472" s="1" t="s">
        <v>4062</v>
      </c>
      <c r="F472" s="1" t="s">
        <v>4063</v>
      </c>
      <c r="G472" s="1">
        <v>392.30466999999999</v>
      </c>
      <c r="H472" s="2">
        <v>382898598.10270602</v>
      </c>
      <c r="I472" s="1" t="s">
        <v>23</v>
      </c>
      <c r="J472" s="1">
        <v>392.48741999999999</v>
      </c>
      <c r="K472" s="1">
        <v>393.31195000000002</v>
      </c>
      <c r="L472" s="7">
        <f>G472-J472</f>
        <v>-0.18274999999999864</v>
      </c>
      <c r="M472" s="1" t="s">
        <v>2627</v>
      </c>
      <c r="N472" s="2">
        <v>551090.94869730901</v>
      </c>
      <c r="O472" s="1">
        <v>609106.74178459705</v>
      </c>
      <c r="P472" s="1">
        <v>522153.380385253</v>
      </c>
      <c r="Q472" s="1">
        <f>STDEV(N472:P472)</f>
        <v>44279.608109540415</v>
      </c>
      <c r="R472" s="1">
        <v>560783.69028905302</v>
      </c>
      <c r="S472" s="1">
        <v>6.8769901978193797E-4</v>
      </c>
    </row>
    <row r="473" spans="1:19" x14ac:dyDescent="0.3">
      <c r="A473" s="1">
        <v>458</v>
      </c>
      <c r="B473" s="1" t="s">
        <v>3526</v>
      </c>
      <c r="C473" s="1" t="s">
        <v>3527</v>
      </c>
      <c r="D473" s="1">
        <v>7.5910000000000002</v>
      </c>
      <c r="E473" s="1" t="s">
        <v>3528</v>
      </c>
      <c r="F473" s="1" t="s">
        <v>3529</v>
      </c>
      <c r="G473" s="1">
        <v>488.34676000000002</v>
      </c>
      <c r="H473" s="2">
        <v>15608457.6523147</v>
      </c>
      <c r="I473" s="1" t="s">
        <v>23</v>
      </c>
      <c r="J473" s="1">
        <v>488.52996000000002</v>
      </c>
      <c r="K473" s="1">
        <v>489.35403000000002</v>
      </c>
      <c r="L473" s="7">
        <f>G473-J473</f>
        <v>-0.18319999999999936</v>
      </c>
      <c r="M473" s="1" t="s">
        <v>3530</v>
      </c>
      <c r="N473" s="2">
        <v>815368.22134820698</v>
      </c>
      <c r="O473" s="1">
        <v>1012921.0427167499</v>
      </c>
      <c r="P473" s="1">
        <v>1182467.6023114601</v>
      </c>
      <c r="Q473" s="1">
        <f>STDEV(N473:P473)</f>
        <v>183727.65560501031</v>
      </c>
      <c r="R473" s="1">
        <v>1003585.6221254723</v>
      </c>
      <c r="S473" s="1">
        <v>1.2307149094282536E-3</v>
      </c>
    </row>
    <row r="474" spans="1:19" x14ac:dyDescent="0.3">
      <c r="A474" s="1">
        <v>283</v>
      </c>
      <c r="B474" s="1" t="s">
        <v>2103</v>
      </c>
      <c r="C474" s="1" t="s">
        <v>2104</v>
      </c>
      <c r="D474" s="1">
        <v>0.48</v>
      </c>
      <c r="E474" s="1" t="s">
        <v>2105</v>
      </c>
      <c r="F474" s="1" t="s">
        <v>2106</v>
      </c>
      <c r="G474" s="1">
        <v>323.24367000000001</v>
      </c>
      <c r="H474" s="2">
        <v>9296417.7681458406</v>
      </c>
      <c r="I474" s="1" t="s">
        <v>23</v>
      </c>
      <c r="J474" s="1">
        <v>323.42716000000001</v>
      </c>
      <c r="K474" s="1">
        <v>324.25094999999999</v>
      </c>
      <c r="L474" s="7">
        <f>G474-J474</f>
        <v>-0.18349000000000615</v>
      </c>
      <c r="M474" s="1" t="s">
        <v>24</v>
      </c>
      <c r="N474" s="2">
        <v>781138.43920304696</v>
      </c>
      <c r="O474" s="1">
        <v>9296417.7681458406</v>
      </c>
      <c r="P474" s="1">
        <v>9157854.5030715</v>
      </c>
      <c r="Q474" s="1">
        <f>STDEV(N474:P474)</f>
        <v>4876791.1896215193</v>
      </c>
      <c r="R474" s="1">
        <v>6411803.570140128</v>
      </c>
      <c r="S474" s="1">
        <v>7.8629088302245367E-3</v>
      </c>
    </row>
    <row r="475" spans="1:19" x14ac:dyDescent="0.3">
      <c r="A475" s="1">
        <v>62</v>
      </c>
      <c r="B475" s="1" t="s">
        <v>1892</v>
      </c>
      <c r="C475" s="1" t="s">
        <v>1893</v>
      </c>
      <c r="D475" s="1">
        <v>13.087999999999999</v>
      </c>
      <c r="E475" s="1" t="s">
        <v>1894</v>
      </c>
      <c r="F475" s="1" t="s">
        <v>1895</v>
      </c>
      <c r="G475" s="1">
        <v>382.26909000000001</v>
      </c>
      <c r="H475" s="2">
        <v>20303143.247194398</v>
      </c>
      <c r="I475" s="1" t="s">
        <v>23</v>
      </c>
      <c r="J475" s="1">
        <v>382.45283999999998</v>
      </c>
      <c r="K475" s="1">
        <v>383.27654999999999</v>
      </c>
      <c r="L475" s="7">
        <f>G475-J475</f>
        <v>-0.18374999999997499</v>
      </c>
      <c r="M475" s="1" t="s">
        <v>24</v>
      </c>
      <c r="N475" s="2">
        <v>4295656.7330854097</v>
      </c>
      <c r="O475" s="1">
        <v>11010667.605798399</v>
      </c>
      <c r="P475" s="1">
        <v>9858946.2272694297</v>
      </c>
      <c r="Q475" s="1">
        <f>STDEV(N475:P475)</f>
        <v>3590914.9983096817</v>
      </c>
      <c r="R475" s="1">
        <v>8388423.5220510801</v>
      </c>
      <c r="S475" s="1">
        <v>1.0286873055556998E-2</v>
      </c>
    </row>
    <row r="476" spans="1:19" x14ac:dyDescent="0.3">
      <c r="A476" s="1">
        <v>46</v>
      </c>
      <c r="B476" s="1" t="s">
        <v>1609</v>
      </c>
      <c r="C476" s="1" t="s">
        <v>1610</v>
      </c>
      <c r="D476" s="1">
        <v>0.04</v>
      </c>
      <c r="E476" s="1" t="s">
        <v>1611</v>
      </c>
      <c r="F476" s="1" t="s">
        <v>1612</v>
      </c>
      <c r="G476" s="1">
        <v>382.26884999999999</v>
      </c>
      <c r="H476" s="2">
        <v>24135169.604355101</v>
      </c>
      <c r="I476" s="1" t="s">
        <v>23</v>
      </c>
      <c r="J476" s="1">
        <v>382.45283999999998</v>
      </c>
      <c r="K476" s="1">
        <v>383.27611999999999</v>
      </c>
      <c r="L476" s="7">
        <f>G476-J476</f>
        <v>-0.18398999999999432</v>
      </c>
      <c r="M476" s="1" t="s">
        <v>24</v>
      </c>
      <c r="N476" s="2">
        <v>187587.98987092299</v>
      </c>
      <c r="O476" s="1">
        <v>15239486.479008101</v>
      </c>
      <c r="P476" s="1">
        <v>24135169.604355101</v>
      </c>
      <c r="Q476" s="1">
        <f>STDEV(N476:P476)</f>
        <v>12104954.16194167</v>
      </c>
      <c r="R476" s="1">
        <v>13187414.691078043</v>
      </c>
      <c r="S476" s="1">
        <v>1.6171961334748776E-2</v>
      </c>
    </row>
    <row r="477" spans="1:19" x14ac:dyDescent="0.3">
      <c r="A477" s="1">
        <v>38</v>
      </c>
      <c r="B477" s="1" t="s">
        <v>586</v>
      </c>
      <c r="C477" s="1" t="s">
        <v>587</v>
      </c>
      <c r="D477" s="1">
        <v>12.119</v>
      </c>
      <c r="E477" s="1" t="s">
        <v>588</v>
      </c>
      <c r="F477" s="1" t="s">
        <v>589</v>
      </c>
      <c r="G477" s="1">
        <v>382.26875999999999</v>
      </c>
      <c r="H477" s="2">
        <v>308290053.36824298</v>
      </c>
      <c r="I477" s="1" t="s">
        <v>23</v>
      </c>
      <c r="J477" s="1">
        <v>382.45283999999998</v>
      </c>
      <c r="K477" s="1">
        <v>383.27614999999997</v>
      </c>
      <c r="L477" s="7">
        <f>G477-J477</f>
        <v>-0.18407999999999447</v>
      </c>
      <c r="M477" s="1" t="s">
        <v>590</v>
      </c>
      <c r="N477" s="2">
        <v>99187673.840149507</v>
      </c>
      <c r="O477" s="1">
        <v>102459362.65130199</v>
      </c>
      <c r="P477" s="1">
        <v>57495815.427385502</v>
      </c>
      <c r="Q477" s="1">
        <f>STDEV(N477:P477)</f>
        <v>25068690.91298395</v>
      </c>
      <c r="R477" s="1">
        <v>86380950.639612332</v>
      </c>
      <c r="S477" s="1">
        <v>0.10593049710856219</v>
      </c>
    </row>
    <row r="478" spans="1:19" x14ac:dyDescent="0.3">
      <c r="A478" s="1">
        <v>548</v>
      </c>
      <c r="B478" s="1" t="s">
        <v>496</v>
      </c>
      <c r="C478" s="1" t="s">
        <v>497</v>
      </c>
      <c r="D478" s="1">
        <v>13.321999999999999</v>
      </c>
      <c r="E478" s="1" t="s">
        <v>498</v>
      </c>
      <c r="F478" s="1" t="s">
        <v>499</v>
      </c>
      <c r="G478" s="1">
        <v>859.52909</v>
      </c>
      <c r="H478" s="2">
        <v>114575589.426585</v>
      </c>
      <c r="I478" s="1" t="s">
        <v>290</v>
      </c>
      <c r="J478" s="1">
        <v>859.71375999999998</v>
      </c>
      <c r="K478" s="1">
        <v>430.77181999999999</v>
      </c>
      <c r="L478" s="7">
        <f>G478-J478</f>
        <v>-0.18466999999998279</v>
      </c>
      <c r="M478" s="1" t="s">
        <v>24</v>
      </c>
      <c r="N478" s="2">
        <v>114575589.426585</v>
      </c>
      <c r="O478" s="1">
        <v>102725514.62743901</v>
      </c>
      <c r="P478" s="1">
        <v>89297477.773716196</v>
      </c>
      <c r="Q478" s="1">
        <f>STDEV(N478:P478)</f>
        <v>12647261.727512481</v>
      </c>
      <c r="R478" s="1">
        <v>102199527.2759134</v>
      </c>
      <c r="S478" s="1">
        <v>0.12532909916405796</v>
      </c>
    </row>
    <row r="479" spans="1:19" x14ac:dyDescent="0.3">
      <c r="A479" s="1">
        <v>276</v>
      </c>
      <c r="B479" s="1" t="s">
        <v>1000</v>
      </c>
      <c r="C479" s="1" t="s">
        <v>1001</v>
      </c>
      <c r="D479" s="1">
        <v>12.659000000000001</v>
      </c>
      <c r="E479" s="1" t="s">
        <v>1002</v>
      </c>
      <c r="F479" s="1" t="s">
        <v>1003</v>
      </c>
      <c r="G479" s="1">
        <v>288.24297000000001</v>
      </c>
      <c r="H479" s="2">
        <v>58365001.027106799</v>
      </c>
      <c r="I479" s="1" t="s">
        <v>23</v>
      </c>
      <c r="J479" s="1">
        <v>288.42772000000002</v>
      </c>
      <c r="K479" s="1">
        <v>289.25024000000002</v>
      </c>
      <c r="L479" s="7">
        <f>G479-J479</f>
        <v>-0.18475000000000819</v>
      </c>
      <c r="M479" s="1" t="s">
        <v>1004</v>
      </c>
      <c r="N479" s="2">
        <v>58365001.027106799</v>
      </c>
      <c r="O479" s="1">
        <v>55181871.305090599</v>
      </c>
      <c r="P479" s="1">
        <v>10352691.586233201</v>
      </c>
      <c r="Q479" s="1">
        <f>STDEV(N479:P479)</f>
        <v>26848244.905204382</v>
      </c>
      <c r="R479" s="1">
        <v>41299854.639476866</v>
      </c>
      <c r="S479" s="1">
        <v>5.0646746766235602E-2</v>
      </c>
    </row>
    <row r="480" spans="1:19" x14ac:dyDescent="0.3">
      <c r="A480" s="1">
        <v>36</v>
      </c>
      <c r="B480" s="1" t="s">
        <v>166</v>
      </c>
      <c r="C480" s="1" t="s">
        <v>167</v>
      </c>
      <c r="D480" s="1">
        <v>15.358000000000001</v>
      </c>
      <c r="E480" s="1" t="s">
        <v>168</v>
      </c>
      <c r="F480" s="1" t="s">
        <v>169</v>
      </c>
      <c r="G480" s="1">
        <v>322.21605</v>
      </c>
      <c r="H480" s="2">
        <v>9036946052.1954899</v>
      </c>
      <c r="I480" s="1" t="s">
        <v>17</v>
      </c>
      <c r="J480" s="1">
        <v>322.40087999999997</v>
      </c>
      <c r="K480" s="1">
        <v>321.20877000000002</v>
      </c>
      <c r="L480" s="7">
        <f>G480-J480</f>
        <v>-0.18482999999997674</v>
      </c>
      <c r="M480" s="1" t="s">
        <v>170</v>
      </c>
      <c r="N480" s="2">
        <v>199756467.40721601</v>
      </c>
      <c r="O480" s="1">
        <v>437089686.113599</v>
      </c>
      <c r="P480" s="1">
        <v>664503682.98732698</v>
      </c>
      <c r="Q480" s="1">
        <f>STDEV(N480:P480)</f>
        <v>232391249.50001958</v>
      </c>
      <c r="R480" s="1">
        <v>433783278.83604735</v>
      </c>
      <c r="S480" s="1">
        <v>0.53195615496517268</v>
      </c>
    </row>
    <row r="481" spans="1:19" x14ac:dyDescent="0.3">
      <c r="A481" s="1">
        <v>75</v>
      </c>
      <c r="B481" s="1" t="s">
        <v>64</v>
      </c>
      <c r="C481" s="1" t="s">
        <v>65</v>
      </c>
      <c r="D481" s="1">
        <v>11.366</v>
      </c>
      <c r="E481" s="1" t="s">
        <v>66</v>
      </c>
      <c r="F481" s="1" t="s">
        <v>67</v>
      </c>
      <c r="G481" s="1">
        <v>338.25846000000001</v>
      </c>
      <c r="H481" s="2">
        <v>2805971484.6318698</v>
      </c>
      <c r="I481" s="1" t="s">
        <v>23</v>
      </c>
      <c r="J481" s="1">
        <v>338.44333999999998</v>
      </c>
      <c r="K481" s="1">
        <v>339.26573999999999</v>
      </c>
      <c r="L481" s="7">
        <f>G481-J481</f>
        <v>-0.18487999999996418</v>
      </c>
      <c r="M481" s="1" t="s">
        <v>68</v>
      </c>
      <c r="N481" s="2">
        <v>2379872306.3775802</v>
      </c>
      <c r="O481" s="1">
        <v>1747888581.2755301</v>
      </c>
      <c r="P481" s="1">
        <v>632952958.37094903</v>
      </c>
      <c r="Q481" s="1">
        <f>STDEV(N481:P481)</f>
        <v>884516071.12358391</v>
      </c>
      <c r="R481" s="1">
        <v>1586904615.3413532</v>
      </c>
      <c r="S481" s="1">
        <v>1.9460493722546934</v>
      </c>
    </row>
    <row r="482" spans="1:19" x14ac:dyDescent="0.3">
      <c r="A482" s="1">
        <v>728</v>
      </c>
      <c r="B482" s="1" t="s">
        <v>1613</v>
      </c>
      <c r="C482" s="1" t="s">
        <v>1614</v>
      </c>
      <c r="D482" s="1">
        <v>8.7040000000000006</v>
      </c>
      <c r="E482" s="1" t="s">
        <v>1615</v>
      </c>
      <c r="F482" s="1" t="s">
        <v>1616</v>
      </c>
      <c r="G482" s="1">
        <v>404.26850999999999</v>
      </c>
      <c r="H482" s="2">
        <v>15357208.0541379</v>
      </c>
      <c r="I482" s="1" t="s">
        <v>23</v>
      </c>
      <c r="J482" s="1">
        <v>404.45352000000003</v>
      </c>
      <c r="K482" s="1">
        <v>405.27582999999998</v>
      </c>
      <c r="L482" s="7">
        <f>G482-J482</f>
        <v>-0.18501000000003387</v>
      </c>
      <c r="M482" s="1" t="s">
        <v>1617</v>
      </c>
      <c r="N482" s="2">
        <v>10724770.708747501</v>
      </c>
      <c r="O482" s="1">
        <v>13476719.062939599</v>
      </c>
      <c r="P482" s="1">
        <v>15357208.0541379</v>
      </c>
      <c r="Q482" s="1">
        <f>STDEV(N482:P482)</f>
        <v>2329840.2788290819</v>
      </c>
      <c r="R482" s="1">
        <v>13186232.608608333</v>
      </c>
      <c r="S482" s="1">
        <v>1.6170511725978411E-2</v>
      </c>
    </row>
    <row r="483" spans="1:19" x14ac:dyDescent="0.3">
      <c r="A483" s="1">
        <v>981</v>
      </c>
      <c r="B483" s="1" t="s">
        <v>3016</v>
      </c>
      <c r="C483" s="1" t="s">
        <v>3017</v>
      </c>
      <c r="D483" s="1">
        <v>10.942</v>
      </c>
      <c r="E483" s="1" t="s">
        <v>3018</v>
      </c>
      <c r="F483" s="1" t="s">
        <v>3019</v>
      </c>
      <c r="G483" s="1">
        <v>346.18901</v>
      </c>
      <c r="H483" s="2">
        <v>6489269.88268652</v>
      </c>
      <c r="I483" s="1" t="s">
        <v>17</v>
      </c>
      <c r="J483" s="1">
        <v>346.37437999999997</v>
      </c>
      <c r="K483" s="1">
        <v>345.18173000000002</v>
      </c>
      <c r="L483" s="7">
        <f>G483-J483</f>
        <v>-0.18536999999997761</v>
      </c>
      <c r="M483" s="1" t="s">
        <v>3020</v>
      </c>
      <c r="N483" s="2">
        <v>3246158.2736671902</v>
      </c>
      <c r="O483" s="1">
        <v>1235995.7262003201</v>
      </c>
      <c r="P483" s="1">
        <v>1208561.2989189599</v>
      </c>
      <c r="Q483" s="1">
        <f>STDEV(N483:P483)</f>
        <v>1168568.0372819477</v>
      </c>
      <c r="R483" s="1">
        <v>1896905.0995954899</v>
      </c>
      <c r="S483" s="1">
        <v>2.3262084832367013E-3</v>
      </c>
    </row>
    <row r="484" spans="1:19" x14ac:dyDescent="0.3">
      <c r="A484" s="1">
        <v>544</v>
      </c>
      <c r="B484" s="1" t="s">
        <v>1803</v>
      </c>
      <c r="C484" s="1" t="s">
        <v>1804</v>
      </c>
      <c r="D484" s="1">
        <v>11.513999999999999</v>
      </c>
      <c r="E484" s="1" t="s">
        <v>1805</v>
      </c>
      <c r="F484" s="1" t="s">
        <v>1806</v>
      </c>
      <c r="G484" s="1">
        <v>596.34853999999996</v>
      </c>
      <c r="H484" s="2">
        <v>93487872.093076095</v>
      </c>
      <c r="I484" s="1" t="s">
        <v>23</v>
      </c>
      <c r="J484" s="1">
        <v>596.53398000000004</v>
      </c>
      <c r="K484" s="1">
        <v>597.35581999999999</v>
      </c>
      <c r="L484" s="7">
        <f>G484-J484</f>
        <v>-0.18544000000008509</v>
      </c>
      <c r="M484" s="1" t="s">
        <v>1807</v>
      </c>
      <c r="N484" s="2">
        <v>20053201.709976099</v>
      </c>
      <c r="O484" s="1">
        <v>7190328.7292089704</v>
      </c>
      <c r="P484" s="1">
        <v>1163323.19874406</v>
      </c>
      <c r="Q484" s="1">
        <f>STDEV(N484:P484)</f>
        <v>9648884.2805158049</v>
      </c>
      <c r="R484" s="1">
        <v>9468951.2126430422</v>
      </c>
      <c r="S484" s="1">
        <v>1.1611943392899223E-2</v>
      </c>
    </row>
    <row r="485" spans="1:19" x14ac:dyDescent="0.3">
      <c r="A485" s="1">
        <v>671</v>
      </c>
      <c r="B485" s="1" t="s">
        <v>1694</v>
      </c>
      <c r="C485" s="1" t="s">
        <v>1695</v>
      </c>
      <c r="D485" s="1">
        <v>8.3940000000000001</v>
      </c>
      <c r="E485" s="1" t="s">
        <v>1696</v>
      </c>
      <c r="F485" s="1" t="s">
        <v>1697</v>
      </c>
      <c r="G485" s="1">
        <v>336.15233000000001</v>
      </c>
      <c r="H485" s="2">
        <v>43221706.764561899</v>
      </c>
      <c r="I485" s="1" t="s">
        <v>23</v>
      </c>
      <c r="J485" s="1">
        <v>336.33803999999998</v>
      </c>
      <c r="K485" s="1">
        <v>337.15960999999999</v>
      </c>
      <c r="L485" s="7">
        <f>G485-J485</f>
        <v>-0.18570999999997184</v>
      </c>
      <c r="M485" s="1" t="s">
        <v>1698</v>
      </c>
      <c r="N485" s="2">
        <v>12394147.2554873</v>
      </c>
      <c r="O485" s="1">
        <v>13188750.325773699</v>
      </c>
      <c r="P485" s="1">
        <v>7347525.4143173303</v>
      </c>
      <c r="Q485" s="1">
        <f>STDEV(N485:P485)</f>
        <v>3168061.8289763145</v>
      </c>
      <c r="R485" s="1">
        <v>10976807.665192777</v>
      </c>
      <c r="S485" s="1">
        <v>1.3461054596286453E-2</v>
      </c>
    </row>
    <row r="486" spans="1:19" x14ac:dyDescent="0.3">
      <c r="A486" s="1">
        <v>712</v>
      </c>
      <c r="B486" s="1" t="s">
        <v>254</v>
      </c>
      <c r="C486" s="1" t="s">
        <v>255</v>
      </c>
      <c r="D486" s="1">
        <v>1.355</v>
      </c>
      <c r="E486" s="1" t="s">
        <v>256</v>
      </c>
      <c r="F486" s="1" t="s">
        <v>257</v>
      </c>
      <c r="G486" s="1">
        <v>346.18865</v>
      </c>
      <c r="H486" s="2">
        <v>433491503.667494</v>
      </c>
      <c r="I486" s="1" t="s">
        <v>23</v>
      </c>
      <c r="J486" s="1">
        <v>346.37437999999997</v>
      </c>
      <c r="K486" s="1">
        <v>347.19592</v>
      </c>
      <c r="L486" s="7">
        <f>G486-J486</f>
        <v>-0.18572999999997819</v>
      </c>
      <c r="M486" s="1" t="s">
        <v>258</v>
      </c>
      <c r="N486" s="2">
        <v>7375655.9579504998</v>
      </c>
      <c r="O486" s="1">
        <v>283614324.032794</v>
      </c>
      <c r="P486" s="1">
        <v>433491503.667494</v>
      </c>
      <c r="Q486" s="1">
        <f>STDEV(N486:P486)</f>
        <v>216158000.23140433</v>
      </c>
      <c r="R486" s="1">
        <v>241493827.88607946</v>
      </c>
      <c r="S486" s="1">
        <v>0.29614817905107471</v>
      </c>
    </row>
    <row r="487" spans="1:19" x14ac:dyDescent="0.3">
      <c r="A487" s="1">
        <v>721</v>
      </c>
      <c r="B487" s="1" t="s">
        <v>4137</v>
      </c>
      <c r="C487" s="1" t="s">
        <v>4138</v>
      </c>
      <c r="D487" s="1">
        <v>14.365</v>
      </c>
      <c r="E487" s="1" t="s">
        <v>4139</v>
      </c>
      <c r="F487" s="1" t="s">
        <v>4140</v>
      </c>
      <c r="G487" s="1">
        <v>410.31477000000001</v>
      </c>
      <c r="H487" s="2">
        <v>9260349.1835708804</v>
      </c>
      <c r="I487" s="1" t="s">
        <v>23</v>
      </c>
      <c r="J487" s="1">
        <v>410.50116000000003</v>
      </c>
      <c r="K487" s="1">
        <v>411.32204000000002</v>
      </c>
      <c r="L487" s="7">
        <f>G487-J487</f>
        <v>-0.18639000000001715</v>
      </c>
      <c r="M487" s="1" t="s">
        <v>4141</v>
      </c>
      <c r="N487" s="2">
        <v>513959.73768263799</v>
      </c>
      <c r="O487" s="1">
        <v>500006.05161877198</v>
      </c>
      <c r="P487" s="1">
        <v>455629.71915959701</v>
      </c>
      <c r="Q487" s="1">
        <f>STDEV(N487:P487)</f>
        <v>30458.592926010384</v>
      </c>
      <c r="R487" s="1">
        <v>489865.16948700231</v>
      </c>
      <c r="S487" s="1">
        <v>6.0073037557116093E-4</v>
      </c>
    </row>
    <row r="488" spans="1:19" x14ac:dyDescent="0.3">
      <c r="A488" s="1">
        <v>280</v>
      </c>
      <c r="B488" s="1" t="s">
        <v>2130</v>
      </c>
      <c r="C488" s="1" t="s">
        <v>2131</v>
      </c>
      <c r="D488" s="1">
        <v>1.861</v>
      </c>
      <c r="E488" s="1" t="s">
        <v>2132</v>
      </c>
      <c r="F488" s="1" t="s">
        <v>2133</v>
      </c>
      <c r="G488" s="1">
        <v>207.12460999999999</v>
      </c>
      <c r="H488" s="2">
        <v>35477226.065666497</v>
      </c>
      <c r="I488" s="1" t="s">
        <v>23</v>
      </c>
      <c r="J488" s="1">
        <v>207.31193999999999</v>
      </c>
      <c r="K488" s="1">
        <v>208.13188</v>
      </c>
      <c r="L488" s="7">
        <f>G488-J488</f>
        <v>-0.18733000000000288</v>
      </c>
      <c r="M488" s="1" t="s">
        <v>2134</v>
      </c>
      <c r="N488" s="2">
        <v>5825840.8463409701</v>
      </c>
      <c r="O488" s="1">
        <v>6167370.9525230201</v>
      </c>
      <c r="P488" s="1">
        <v>6721060.6304705404</v>
      </c>
      <c r="Q488" s="1">
        <f>STDEV(N488:P488)</f>
        <v>451780.46563778177</v>
      </c>
      <c r="R488" s="1">
        <v>6238090.8097781762</v>
      </c>
      <c r="S488" s="1">
        <v>7.6498817805916329E-3</v>
      </c>
    </row>
    <row r="489" spans="1:19" x14ac:dyDescent="0.3">
      <c r="A489" s="1">
        <v>397</v>
      </c>
      <c r="B489" s="1" t="s">
        <v>2207</v>
      </c>
      <c r="C489" s="1" t="s">
        <v>2208</v>
      </c>
      <c r="D489" s="1">
        <v>0.94099999999999995</v>
      </c>
      <c r="E489" s="1" t="s">
        <v>2209</v>
      </c>
      <c r="F489" s="1" t="s">
        <v>2210</v>
      </c>
      <c r="G489" s="1">
        <v>305.1814</v>
      </c>
      <c r="H489" s="2">
        <v>6734501.7620124398</v>
      </c>
      <c r="I489" s="1" t="s">
        <v>23</v>
      </c>
      <c r="J489" s="1">
        <v>305.36882000000003</v>
      </c>
      <c r="K489" s="1">
        <v>306.18867999999998</v>
      </c>
      <c r="L489" s="7">
        <f>G489-J489</f>
        <v>-0.18742000000003145</v>
      </c>
      <c r="M489" s="1" t="s">
        <v>24</v>
      </c>
      <c r="N489" s="2">
        <v>3150217.3940996998</v>
      </c>
      <c r="O489" s="1">
        <v>6661681.0321096499</v>
      </c>
      <c r="P489" s="1">
        <v>6734501.7620124398</v>
      </c>
      <c r="Q489" s="1">
        <f>STDEV(N489:P489)</f>
        <v>2048689.5880795477</v>
      </c>
      <c r="R489" s="1">
        <v>5515466.729407263</v>
      </c>
      <c r="S489" s="1">
        <v>6.7637150101462363E-3</v>
      </c>
    </row>
    <row r="490" spans="1:19" x14ac:dyDescent="0.3">
      <c r="A490" s="1">
        <v>910</v>
      </c>
      <c r="B490" s="1" t="s">
        <v>3761</v>
      </c>
      <c r="C490" s="1" t="s">
        <v>3762</v>
      </c>
      <c r="D490" s="1">
        <v>2.4889999999999999</v>
      </c>
      <c r="E490" s="1" t="s">
        <v>3763</v>
      </c>
      <c r="F490" s="1" t="s">
        <v>3764</v>
      </c>
      <c r="G490" s="1">
        <v>448.18943000000002</v>
      </c>
      <c r="H490" s="2">
        <v>5244281.3390770704</v>
      </c>
      <c r="I490" s="1" t="s">
        <v>23</v>
      </c>
      <c r="J490" s="1">
        <v>448.37689999999998</v>
      </c>
      <c r="K490" s="1">
        <v>449.19637999999998</v>
      </c>
      <c r="L490" s="7">
        <f>G490-J490</f>
        <v>-0.18746999999996206</v>
      </c>
      <c r="M490" s="1" t="s">
        <v>3765</v>
      </c>
      <c r="N490" s="2">
        <v>651403.77840563201</v>
      </c>
      <c r="O490" s="1">
        <v>821213.25117818103</v>
      </c>
      <c r="P490" s="1">
        <v>921390.08287001401</v>
      </c>
      <c r="Q490" s="1">
        <f>STDEV(N490:P490)</f>
        <v>136481.5367546335</v>
      </c>
      <c r="R490" s="1">
        <v>798002.37081794243</v>
      </c>
      <c r="S490" s="1">
        <v>9.7860450954323063E-4</v>
      </c>
    </row>
    <row r="491" spans="1:19" x14ac:dyDescent="0.3">
      <c r="A491" s="1">
        <v>336</v>
      </c>
      <c r="B491" s="1" t="s">
        <v>720</v>
      </c>
      <c r="C491" s="1" t="s">
        <v>721</v>
      </c>
      <c r="D491" s="1">
        <v>11.351000000000001</v>
      </c>
      <c r="E491" s="1" t="s">
        <v>722</v>
      </c>
      <c r="F491" s="1" t="s">
        <v>723</v>
      </c>
      <c r="G491" s="1">
        <v>248.17591999999999</v>
      </c>
      <c r="H491" s="2">
        <v>78649918.005816206</v>
      </c>
      <c r="I491" s="1" t="s">
        <v>23</v>
      </c>
      <c r="J491" s="1">
        <v>248.36385999999999</v>
      </c>
      <c r="K491" s="1">
        <v>249.18319</v>
      </c>
      <c r="L491" s="7">
        <f>G491-J491</f>
        <v>-0.18793999999999755</v>
      </c>
      <c r="M491" s="1" t="s">
        <v>724</v>
      </c>
      <c r="N491" s="2">
        <v>77813644.697168097</v>
      </c>
      <c r="O491" s="1">
        <v>78649918.005816206</v>
      </c>
      <c r="P491" s="1">
        <v>33222498.0917123</v>
      </c>
      <c r="Q491" s="1">
        <f>STDEV(N491:P491)</f>
        <v>25989485.658269364</v>
      </c>
      <c r="R491" s="1">
        <v>63228686.931565531</v>
      </c>
      <c r="S491" s="1">
        <v>7.7538464077876304E-2</v>
      </c>
    </row>
    <row r="492" spans="1:19" x14ac:dyDescent="0.3">
      <c r="A492" s="1">
        <v>31</v>
      </c>
      <c r="B492" s="1" t="s">
        <v>4531</v>
      </c>
      <c r="C492" s="1" t="s">
        <v>4532</v>
      </c>
      <c r="D492" s="1">
        <v>18.585000000000001</v>
      </c>
      <c r="E492" s="1" t="s">
        <v>4533</v>
      </c>
      <c r="F492" s="1" t="s">
        <v>4534</v>
      </c>
      <c r="G492" s="1">
        <v>324.2285</v>
      </c>
      <c r="H492" s="2">
        <v>400267.96443476301</v>
      </c>
      <c r="I492" s="1" t="s">
        <v>17</v>
      </c>
      <c r="J492" s="1">
        <v>324.41676000000001</v>
      </c>
      <c r="K492" s="1">
        <v>323.22122000000002</v>
      </c>
      <c r="L492" s="7">
        <f>G492-J492</f>
        <v>-0.18826000000001386</v>
      </c>
      <c r="M492" s="1" t="s">
        <v>4535</v>
      </c>
      <c r="N492" s="2">
        <v>73043.993586562501</v>
      </c>
      <c r="O492" s="1">
        <v>120081.070206096</v>
      </c>
      <c r="P492" s="1">
        <v>188336.267814046</v>
      </c>
      <c r="Q492" s="1">
        <f>STDEV(N492:P492)</f>
        <v>57970.634913947913</v>
      </c>
      <c r="R492" s="1">
        <v>127153.77720223484</v>
      </c>
      <c r="S492" s="1">
        <v>1.5593093996452628E-4</v>
      </c>
    </row>
    <row r="493" spans="1:19" x14ac:dyDescent="0.3">
      <c r="A493" s="1">
        <v>134</v>
      </c>
      <c r="B493" s="1" t="s">
        <v>629</v>
      </c>
      <c r="C493" s="1" t="s">
        <v>630</v>
      </c>
      <c r="D493" s="1">
        <v>12.782</v>
      </c>
      <c r="E493" s="1" t="s">
        <v>631</v>
      </c>
      <c r="F493" s="1" t="s">
        <v>632</v>
      </c>
      <c r="G493" s="1">
        <v>348.20652000000001</v>
      </c>
      <c r="H493" s="2">
        <v>106794614.191011</v>
      </c>
      <c r="I493" s="1" t="s">
        <v>290</v>
      </c>
      <c r="J493" s="1">
        <v>348.39510000000001</v>
      </c>
      <c r="K493" s="1">
        <v>175.11053000000001</v>
      </c>
      <c r="L493" s="7">
        <f>G493-J493</f>
        <v>-0.18858000000000175</v>
      </c>
      <c r="M493" s="1" t="s">
        <v>24</v>
      </c>
      <c r="N493" s="2">
        <v>106794614.191011</v>
      </c>
      <c r="O493" s="1">
        <v>99981133.313358903</v>
      </c>
      <c r="P493" s="1">
        <v>39917769.098096803</v>
      </c>
      <c r="Q493" s="1">
        <f>STDEV(N493:P493)</f>
        <v>36802499.127339654</v>
      </c>
      <c r="R493" s="1">
        <v>82231172.200822234</v>
      </c>
      <c r="S493" s="1">
        <v>0.10084154995462984</v>
      </c>
    </row>
    <row r="494" spans="1:19" x14ac:dyDescent="0.3">
      <c r="A494" s="1">
        <v>401</v>
      </c>
      <c r="B494" s="1" t="s">
        <v>4590</v>
      </c>
      <c r="C494" s="1" t="s">
        <v>4591</v>
      </c>
      <c r="D494" s="1">
        <v>18.771999999999998</v>
      </c>
      <c r="E494" s="1" t="s">
        <v>4592</v>
      </c>
      <c r="F494" s="1" t="s">
        <v>4593</v>
      </c>
      <c r="G494" s="1">
        <v>185.03151</v>
      </c>
      <c r="H494" s="2">
        <v>225067.94108292501</v>
      </c>
      <c r="I494" s="1" t="s">
        <v>17</v>
      </c>
      <c r="J494" s="1">
        <v>185.22030000000001</v>
      </c>
      <c r="K494" s="1">
        <v>184.02422999999999</v>
      </c>
      <c r="L494" s="7">
        <f>G494-J494</f>
        <v>-0.18879000000001156</v>
      </c>
      <c r="M494" s="1" t="s">
        <v>24</v>
      </c>
      <c r="N494" s="2">
        <v>140040.97737245899</v>
      </c>
      <c r="O494" s="1">
        <v>79631.213844037804</v>
      </c>
      <c r="P494" s="1">
        <v>57313.9931869383</v>
      </c>
      <c r="Q494" s="1">
        <f>STDEV(N494:P494)</f>
        <v>42800.217639339236</v>
      </c>
      <c r="R494" s="1">
        <v>92328.72813447837</v>
      </c>
      <c r="S494" s="1">
        <v>1.1322436250431244E-4</v>
      </c>
    </row>
    <row r="495" spans="1:19" x14ac:dyDescent="0.3">
      <c r="A495" s="1">
        <v>656</v>
      </c>
      <c r="B495" s="1" t="s">
        <v>1382</v>
      </c>
      <c r="C495" s="1" t="s">
        <v>1383</v>
      </c>
      <c r="D495" s="1">
        <v>0.64</v>
      </c>
      <c r="E495" s="1" t="s">
        <v>1384</v>
      </c>
      <c r="F495" s="1" t="s">
        <v>1385</v>
      </c>
      <c r="G495" s="1">
        <v>302.13177000000002</v>
      </c>
      <c r="H495" s="2">
        <v>28024801.485968798</v>
      </c>
      <c r="I495" s="1" t="s">
        <v>23</v>
      </c>
      <c r="J495" s="1">
        <v>302.32182</v>
      </c>
      <c r="K495" s="1">
        <v>303.13905</v>
      </c>
      <c r="L495" s="7">
        <f>G495-J495</f>
        <v>-0.19004999999998518</v>
      </c>
      <c r="M495" s="1" t="s">
        <v>1386</v>
      </c>
      <c r="N495" s="2">
        <v>25004982.649801299</v>
      </c>
      <c r="O495" s="1">
        <v>18624511.388902701</v>
      </c>
      <c r="P495" s="1">
        <v>13820997.7109158</v>
      </c>
      <c r="Q495" s="1">
        <f>STDEV(N495:P495)</f>
        <v>5610491.3076452641</v>
      </c>
      <c r="R495" s="1">
        <v>19150163.916539934</v>
      </c>
      <c r="S495" s="1">
        <v>2.3484186830183624E-2</v>
      </c>
    </row>
    <row r="496" spans="1:19" x14ac:dyDescent="0.3">
      <c r="A496" s="1">
        <v>999</v>
      </c>
      <c r="B496" s="1" t="s">
        <v>1745</v>
      </c>
      <c r="C496" s="1" t="s">
        <v>1746</v>
      </c>
      <c r="D496" s="1">
        <v>11.661</v>
      </c>
      <c r="E496" s="1" t="s">
        <v>1747</v>
      </c>
      <c r="F496" s="1" t="s">
        <v>1748</v>
      </c>
      <c r="G496" s="1">
        <v>316.20098000000002</v>
      </c>
      <c r="H496" s="2">
        <v>23271542.9546085</v>
      </c>
      <c r="I496" s="1" t="s">
        <v>23</v>
      </c>
      <c r="J496" s="1">
        <v>316.39146</v>
      </c>
      <c r="K496" s="1">
        <v>317.20825000000002</v>
      </c>
      <c r="L496" s="7">
        <f>G496-J496</f>
        <v>-0.19047999999997955</v>
      </c>
      <c r="M496" s="1" t="s">
        <v>1749</v>
      </c>
      <c r="N496" s="2">
        <v>2627842.3283428401</v>
      </c>
      <c r="O496" s="1">
        <v>23271542.9546085</v>
      </c>
      <c r="P496" s="1">
        <v>5254779.4289931599</v>
      </c>
      <c r="Q496" s="1">
        <f>STDEV(N496:P496)</f>
        <v>11237340.595944678</v>
      </c>
      <c r="R496" s="1">
        <v>10384721.570648165</v>
      </c>
      <c r="S496" s="1">
        <v>1.2734968881070723E-2</v>
      </c>
    </row>
    <row r="497" spans="1:19" x14ac:dyDescent="0.3">
      <c r="A497" s="1">
        <v>14</v>
      </c>
      <c r="B497" s="1" t="s">
        <v>1618</v>
      </c>
      <c r="C497" s="1" t="s">
        <v>1619</v>
      </c>
      <c r="D497" s="1">
        <v>11.814</v>
      </c>
      <c r="E497" s="1" t="s">
        <v>1620</v>
      </c>
      <c r="F497" s="1" t="s">
        <v>1621</v>
      </c>
      <c r="G497" s="1">
        <v>726.44700999999998</v>
      </c>
      <c r="H497" s="2">
        <v>154617802.62007299</v>
      </c>
      <c r="I497" s="1" t="s">
        <v>23</v>
      </c>
      <c r="J497" s="1">
        <v>726.63756000000001</v>
      </c>
      <c r="K497" s="1">
        <v>727.45428000000004</v>
      </c>
      <c r="L497" s="7">
        <f>G497-J497</f>
        <v>-0.1905500000000302</v>
      </c>
      <c r="M497" s="1" t="s">
        <v>272</v>
      </c>
      <c r="N497" s="2">
        <v>19978786.688839201</v>
      </c>
      <c r="O497" s="1">
        <v>13968955.836183701</v>
      </c>
      <c r="P497" s="1">
        <v>5499583.6484768</v>
      </c>
      <c r="Q497" s="1">
        <f>STDEV(N497:P497)</f>
        <v>7274334.4806182869</v>
      </c>
      <c r="R497" s="1">
        <v>13149108.724499902</v>
      </c>
      <c r="S497" s="1">
        <v>1.6124986046194986E-2</v>
      </c>
    </row>
    <row r="498" spans="1:19" x14ac:dyDescent="0.3">
      <c r="A498" s="1">
        <v>9</v>
      </c>
      <c r="B498" s="1" t="s">
        <v>774</v>
      </c>
      <c r="C498" s="1" t="s">
        <v>775</v>
      </c>
      <c r="D498" s="1">
        <v>14.590999999999999</v>
      </c>
      <c r="E498" s="1" t="s">
        <v>776</v>
      </c>
      <c r="F498" s="1" t="s">
        <v>777</v>
      </c>
      <c r="G498" s="1">
        <v>726.44669999999996</v>
      </c>
      <c r="H498" s="2">
        <v>100644495.35850701</v>
      </c>
      <c r="I498" s="1" t="s">
        <v>23</v>
      </c>
      <c r="J498" s="1">
        <v>726.63756000000001</v>
      </c>
      <c r="K498" s="1">
        <v>727.45398</v>
      </c>
      <c r="L498" s="7">
        <f>G498-J498</f>
        <v>-0.19086000000004333</v>
      </c>
      <c r="M498" s="1" t="s">
        <v>272</v>
      </c>
      <c r="N498" s="2">
        <v>100644495.35850701</v>
      </c>
      <c r="O498" s="1">
        <v>69209337.881772801</v>
      </c>
      <c r="P498" s="1">
        <v>6244292.9107109103</v>
      </c>
      <c r="Q498" s="1">
        <f>STDEV(N498:P498)</f>
        <v>48069679.001736321</v>
      </c>
      <c r="R498" s="1">
        <v>58699375.383663565</v>
      </c>
      <c r="S498" s="1">
        <v>7.1984088717612735E-2</v>
      </c>
    </row>
    <row r="499" spans="1:19" x14ac:dyDescent="0.3">
      <c r="A499" s="1">
        <v>976</v>
      </c>
      <c r="B499" s="1" t="s">
        <v>1626</v>
      </c>
      <c r="C499" s="1" t="s">
        <v>1627</v>
      </c>
      <c r="D499" s="1">
        <v>7.2930000000000001</v>
      </c>
      <c r="E499" s="1"/>
      <c r="F499" s="1" t="s">
        <v>1628</v>
      </c>
      <c r="G499" s="1">
        <v>362.22865000000002</v>
      </c>
      <c r="H499" s="2">
        <v>22338626.025896698</v>
      </c>
      <c r="I499" s="1" t="s">
        <v>17</v>
      </c>
      <c r="J499" s="1">
        <v>362.42</v>
      </c>
      <c r="K499" s="1">
        <v>361.22136999999998</v>
      </c>
      <c r="L499" s="7">
        <f>G499-J499</f>
        <v>-0.19134999999999991</v>
      </c>
      <c r="M499" s="1" t="s">
        <v>1629</v>
      </c>
      <c r="N499" s="2">
        <v>11994676.327052999</v>
      </c>
      <c r="O499" s="1">
        <v>12999886.417088401</v>
      </c>
      <c r="P499" s="1">
        <v>14160173.379608599</v>
      </c>
      <c r="Q499" s="1">
        <f>STDEV(N499:P499)</f>
        <v>1083673.585935845</v>
      </c>
      <c r="R499" s="1">
        <v>13051578.707916668</v>
      </c>
      <c r="S499" s="1">
        <v>1.6005383251097585E-2</v>
      </c>
    </row>
    <row r="500" spans="1:19" x14ac:dyDescent="0.3">
      <c r="A500" s="1">
        <v>535</v>
      </c>
      <c r="B500" s="1" t="s">
        <v>4322</v>
      </c>
      <c r="C500" s="1" t="s">
        <v>4323</v>
      </c>
      <c r="D500" s="1">
        <v>6.3840000000000003</v>
      </c>
      <c r="E500" s="1" t="s">
        <v>4324</v>
      </c>
      <c r="F500" s="1" t="s">
        <v>4325</v>
      </c>
      <c r="G500" s="1">
        <v>448.18529000000001</v>
      </c>
      <c r="H500" s="2">
        <v>2982507.3637642902</v>
      </c>
      <c r="I500" s="1" t="s">
        <v>23</v>
      </c>
      <c r="J500" s="1">
        <v>448.37689999999998</v>
      </c>
      <c r="K500" s="1">
        <v>449.19256999999999</v>
      </c>
      <c r="L500" s="7">
        <f>G500-J500</f>
        <v>-0.19160999999996875</v>
      </c>
      <c r="M500" s="1" t="s">
        <v>24</v>
      </c>
      <c r="N500" s="2">
        <v>224937.022026997</v>
      </c>
      <c r="O500" s="1">
        <v>272318.96498011798</v>
      </c>
      <c r="P500" s="1">
        <v>409649.853293358</v>
      </c>
      <c r="Q500" s="1">
        <f>STDEV(N500:P500)</f>
        <v>95937.17687229118</v>
      </c>
      <c r="R500" s="1">
        <v>302301.94676682429</v>
      </c>
      <c r="S500" s="1">
        <v>3.707182574488916E-4</v>
      </c>
    </row>
    <row r="501" spans="1:19" x14ac:dyDescent="0.3">
      <c r="A501" s="1">
        <v>487</v>
      </c>
      <c r="B501" s="1" t="s">
        <v>79</v>
      </c>
      <c r="C501" s="1" t="s">
        <v>80</v>
      </c>
      <c r="D501" s="1">
        <v>12.678000000000001</v>
      </c>
      <c r="E501" s="1" t="s">
        <v>81</v>
      </c>
      <c r="F501" s="1" t="s">
        <v>82</v>
      </c>
      <c r="G501" s="1">
        <v>594.36942999999997</v>
      </c>
      <c r="H501" s="2">
        <v>3235214141.2582302</v>
      </c>
      <c r="I501" s="1" t="s">
        <v>23</v>
      </c>
      <c r="J501" s="1">
        <v>594.56115999999997</v>
      </c>
      <c r="K501" s="1">
        <v>595.37671</v>
      </c>
      <c r="L501" s="7">
        <f>G501-J501</f>
        <v>-0.19173000000000684</v>
      </c>
      <c r="M501" s="1" t="s">
        <v>54</v>
      </c>
      <c r="N501" s="2">
        <v>491732507.893592</v>
      </c>
      <c r="O501" s="1">
        <v>3235214141.2582302</v>
      </c>
      <c r="P501" s="1">
        <v>237552526.66567701</v>
      </c>
      <c r="Q501" s="1">
        <f>STDEV(N501:P501)</f>
        <v>1662191028.4855826</v>
      </c>
      <c r="R501" s="1">
        <v>1321499725.2724998</v>
      </c>
      <c r="S501" s="1">
        <v>1.6205786320988853</v>
      </c>
    </row>
    <row r="502" spans="1:19" x14ac:dyDescent="0.3">
      <c r="A502" s="1">
        <v>511</v>
      </c>
      <c r="B502" s="1" t="s">
        <v>1234</v>
      </c>
      <c r="C502" s="1" t="s">
        <v>1235</v>
      </c>
      <c r="D502" s="1">
        <v>6.1529999999999996</v>
      </c>
      <c r="E502" s="1" t="s">
        <v>1236</v>
      </c>
      <c r="F502" s="1" t="s">
        <v>1237</v>
      </c>
      <c r="G502" s="1">
        <v>344.12347999999997</v>
      </c>
      <c r="H502" s="2">
        <v>37279633.563819297</v>
      </c>
      <c r="I502" s="1" t="s">
        <v>23</v>
      </c>
      <c r="J502" s="1">
        <v>344.31544000000002</v>
      </c>
      <c r="K502" s="1">
        <v>345.13074999999998</v>
      </c>
      <c r="L502" s="7">
        <f>G502-J502</f>
        <v>-0.19196000000005142</v>
      </c>
      <c r="M502" s="1" t="s">
        <v>1238</v>
      </c>
      <c r="N502" s="2">
        <v>33833688.932890899</v>
      </c>
      <c r="O502" s="1">
        <v>37279633.563819297</v>
      </c>
      <c r="P502" s="1">
        <v>12577445.968071001</v>
      </c>
      <c r="Q502" s="1">
        <f>STDEV(N502:P502)</f>
        <v>13378468.219458843</v>
      </c>
      <c r="R502" s="1">
        <v>27896922.821593732</v>
      </c>
      <c r="S502" s="1">
        <v>3.421049294328396E-2</v>
      </c>
    </row>
    <row r="503" spans="1:19" x14ac:dyDescent="0.3">
      <c r="A503" s="1">
        <v>338</v>
      </c>
      <c r="B503" s="1" t="s">
        <v>2144</v>
      </c>
      <c r="C503" s="1" t="s">
        <v>2145</v>
      </c>
      <c r="D503" s="1">
        <v>24.091999999999999</v>
      </c>
      <c r="E503" s="1" t="s">
        <v>2146</v>
      </c>
      <c r="F503" s="1" t="s">
        <v>2147</v>
      </c>
      <c r="G503" s="1">
        <v>264.17041</v>
      </c>
      <c r="H503" s="2">
        <v>15741802.717071</v>
      </c>
      <c r="I503" s="1" t="s">
        <v>23</v>
      </c>
      <c r="J503" s="1">
        <v>264.36326000000003</v>
      </c>
      <c r="K503" s="1">
        <v>265.17768999999998</v>
      </c>
      <c r="L503" s="7">
        <f>G503-J503</f>
        <v>-0.19285000000002128</v>
      </c>
      <c r="M503" s="1" t="s">
        <v>24</v>
      </c>
      <c r="N503" s="2">
        <v>15741802.717071</v>
      </c>
      <c r="O503" s="1">
        <v>1194793.69066626</v>
      </c>
      <c r="P503" s="1">
        <v>1680440.66395081</v>
      </c>
      <c r="Q503" s="1">
        <f>STDEV(N503:P503)</f>
        <v>8262094.4417450838</v>
      </c>
      <c r="R503" s="1">
        <v>6205679.0238960227</v>
      </c>
      <c r="S503" s="1">
        <v>7.610134630725256E-3</v>
      </c>
    </row>
    <row r="504" spans="1:19" x14ac:dyDescent="0.3">
      <c r="A504" s="1">
        <v>323</v>
      </c>
      <c r="B504" s="1" t="s">
        <v>2225</v>
      </c>
      <c r="C504" s="1" t="s">
        <v>2226</v>
      </c>
      <c r="D504" s="1">
        <v>0.26500000000000001</v>
      </c>
      <c r="E504" s="1" t="s">
        <v>2227</v>
      </c>
      <c r="F504" s="1" t="s">
        <v>2228</v>
      </c>
      <c r="G504" s="1">
        <v>264.17034000000001</v>
      </c>
      <c r="H504" s="2">
        <v>12526485.7654693</v>
      </c>
      <c r="I504" s="1" t="s">
        <v>23</v>
      </c>
      <c r="J504" s="1">
        <v>264.36326000000003</v>
      </c>
      <c r="K504" s="1">
        <v>265.17761999999999</v>
      </c>
      <c r="L504" s="7">
        <f>G504-J504</f>
        <v>-0.19292000000001508</v>
      </c>
      <c r="M504" s="1" t="s">
        <v>24</v>
      </c>
      <c r="N504" s="2">
        <v>185787.09217065899</v>
      </c>
      <c r="O504" s="1">
        <v>3370955.0849651298</v>
      </c>
      <c r="P504" s="1">
        <v>12526485.7654693</v>
      </c>
      <c r="Q504" s="1">
        <f>STDEV(N504:P504)</f>
        <v>6406531.5750038829</v>
      </c>
      <c r="R504" s="1">
        <v>5361075.9808683628</v>
      </c>
      <c r="S504" s="1">
        <v>6.5743828874896843E-3</v>
      </c>
    </row>
    <row r="505" spans="1:19" x14ac:dyDescent="0.3">
      <c r="A505" s="1">
        <v>382</v>
      </c>
      <c r="B505" s="1" t="s">
        <v>769</v>
      </c>
      <c r="C505" s="1" t="s">
        <v>770</v>
      </c>
      <c r="D505" s="1">
        <v>0.92500000000000004</v>
      </c>
      <c r="E505" s="1" t="s">
        <v>771</v>
      </c>
      <c r="F505" s="1" t="s">
        <v>772</v>
      </c>
      <c r="G505" s="1">
        <v>165.03907000000001</v>
      </c>
      <c r="H505" s="2">
        <v>70011799.584975794</v>
      </c>
      <c r="I505" s="1" t="s">
        <v>23</v>
      </c>
      <c r="J505" s="1">
        <v>165.23220000000001</v>
      </c>
      <c r="K505" s="1">
        <v>166.04637</v>
      </c>
      <c r="L505" s="7">
        <f>G505-J505</f>
        <v>-0.19312999999999647</v>
      </c>
      <c r="M505" s="1" t="s">
        <v>773</v>
      </c>
      <c r="N505" s="2">
        <v>70011799.584975794</v>
      </c>
      <c r="O505" s="1">
        <v>54527546.972988501</v>
      </c>
      <c r="P505" s="1">
        <v>51841243.3177858</v>
      </c>
      <c r="Q505" s="1">
        <f>STDEV(N505:P505)</f>
        <v>9807713.1325206999</v>
      </c>
      <c r="R505" s="1">
        <v>58793529.958583362</v>
      </c>
      <c r="S505" s="1">
        <v>7.2099552148524843E-2</v>
      </c>
    </row>
    <row r="506" spans="1:19" x14ac:dyDescent="0.3">
      <c r="A506" s="1">
        <v>394</v>
      </c>
      <c r="B506" s="1" t="s">
        <v>3283</v>
      </c>
      <c r="C506" s="1" t="s">
        <v>3284</v>
      </c>
      <c r="D506" s="1">
        <v>11.554</v>
      </c>
      <c r="E506" s="1" t="s">
        <v>3285</v>
      </c>
      <c r="F506" s="1" t="s">
        <v>3286</v>
      </c>
      <c r="G506" s="1">
        <v>329.19644</v>
      </c>
      <c r="H506" s="2">
        <v>40742103.006256603</v>
      </c>
      <c r="I506" s="1" t="s">
        <v>23</v>
      </c>
      <c r="J506" s="1">
        <v>329.39022</v>
      </c>
      <c r="K506" s="1">
        <v>330.20366999999999</v>
      </c>
      <c r="L506" s="7">
        <f>G506-J506</f>
        <v>-0.19378000000000384</v>
      </c>
      <c r="M506" s="1" t="s">
        <v>24</v>
      </c>
      <c r="N506" s="2">
        <v>1606243.15899401</v>
      </c>
      <c r="O506" s="1">
        <v>1374784.9876107899</v>
      </c>
      <c r="P506" s="1">
        <v>1113913.99716438</v>
      </c>
      <c r="Q506" s="1">
        <f>STDEV(N506:P506)</f>
        <v>246310.9695569207</v>
      </c>
      <c r="R506" s="1">
        <v>1364980.7145897264</v>
      </c>
      <c r="S506" s="1">
        <v>1.6739001431385393E-3</v>
      </c>
    </row>
    <row r="507" spans="1:19" x14ac:dyDescent="0.3">
      <c r="A507" s="1">
        <v>990</v>
      </c>
      <c r="B507" s="1" t="s">
        <v>4266</v>
      </c>
      <c r="C507" s="1" t="s">
        <v>4267</v>
      </c>
      <c r="D507" s="1">
        <v>9.3680000000000003</v>
      </c>
      <c r="E507" s="1" t="s">
        <v>4268</v>
      </c>
      <c r="F507" s="1" t="s">
        <v>4269</v>
      </c>
      <c r="G507" s="1">
        <v>332.19691</v>
      </c>
      <c r="H507" s="2">
        <v>27094675.748668801</v>
      </c>
      <c r="I507" s="1" t="s">
        <v>17</v>
      </c>
      <c r="J507" s="1">
        <v>332.39085999999998</v>
      </c>
      <c r="K507" s="1">
        <v>331.18964</v>
      </c>
      <c r="L507" s="7">
        <f>G507-J507</f>
        <v>-0.19394999999997253</v>
      </c>
      <c r="M507" s="1" t="s">
        <v>2271</v>
      </c>
      <c r="N507" s="2">
        <v>277599.30011295801</v>
      </c>
      <c r="O507" s="1">
        <v>377106.34847787098</v>
      </c>
      <c r="P507" s="1">
        <v>356521.667680201</v>
      </c>
      <c r="Q507" s="1">
        <f>STDEV(N507:P507)</f>
        <v>52526.377278877699</v>
      </c>
      <c r="R507" s="1">
        <v>337075.77209034335</v>
      </c>
      <c r="S507" s="1">
        <v>4.1336201831990789E-4</v>
      </c>
    </row>
    <row r="508" spans="1:19" x14ac:dyDescent="0.3">
      <c r="A508" s="1">
        <v>61</v>
      </c>
      <c r="B508" s="1" t="s">
        <v>1173</v>
      </c>
      <c r="C508" s="1" t="s">
        <v>1174</v>
      </c>
      <c r="D508" s="1">
        <v>12.329000000000001</v>
      </c>
      <c r="E508" s="1" t="s">
        <v>1175</v>
      </c>
      <c r="F508" s="1" t="s">
        <v>1176</v>
      </c>
      <c r="G508" s="1">
        <v>394.26942000000003</v>
      </c>
      <c r="H508" s="2">
        <v>84004947.727211103</v>
      </c>
      <c r="I508" s="1" t="s">
        <v>150</v>
      </c>
      <c r="J508" s="1">
        <v>394.46354000000002</v>
      </c>
      <c r="K508" s="1">
        <v>417.25772999999998</v>
      </c>
      <c r="L508" s="7">
        <f>G508-J508</f>
        <v>-0.19411999999999807</v>
      </c>
      <c r="M508" s="1" t="s">
        <v>1177</v>
      </c>
      <c r="N508" s="2">
        <v>30985408.696807899</v>
      </c>
      <c r="O508" s="1">
        <v>33733827.783278398</v>
      </c>
      <c r="P508" s="1">
        <v>26567549.499989599</v>
      </c>
      <c r="Q508" s="1">
        <f>STDEV(N508:P508)</f>
        <v>3615402.9695024784</v>
      </c>
      <c r="R508" s="1">
        <v>30428928.660025299</v>
      </c>
      <c r="S508" s="1">
        <v>3.7315536765571318E-2</v>
      </c>
    </row>
    <row r="509" spans="1:19" x14ac:dyDescent="0.3">
      <c r="A509" s="1">
        <v>993</v>
      </c>
      <c r="B509" s="1" t="s">
        <v>4163</v>
      </c>
      <c r="C509" s="1" t="s">
        <v>4164</v>
      </c>
      <c r="D509" s="1">
        <v>12.846</v>
      </c>
      <c r="E509" s="1" t="s">
        <v>4165</v>
      </c>
      <c r="F509" s="1" t="s">
        <v>4166</v>
      </c>
      <c r="G509" s="1">
        <v>348.23917999999998</v>
      </c>
      <c r="H509" s="2">
        <v>1044080.47611926</v>
      </c>
      <c r="I509" s="1" t="s">
        <v>17</v>
      </c>
      <c r="J509" s="1">
        <v>348.43331999999998</v>
      </c>
      <c r="K509" s="1">
        <v>347.2319</v>
      </c>
      <c r="L509" s="7">
        <f>G509-J509</f>
        <v>-0.19414000000000442</v>
      </c>
      <c r="M509" s="1" t="s">
        <v>24</v>
      </c>
      <c r="N509" s="2">
        <v>813991.94934152497</v>
      </c>
      <c r="O509" s="1">
        <v>338500.77598561201</v>
      </c>
      <c r="P509" s="1">
        <v>221459.98904496699</v>
      </c>
      <c r="Q509" s="1">
        <f>STDEV(N509:P509)</f>
        <v>313816.43406083487</v>
      </c>
      <c r="R509" s="1">
        <v>457984.23812403466</v>
      </c>
      <c r="S509" s="1">
        <v>5.6163422204938635E-4</v>
      </c>
    </row>
    <row r="510" spans="1:19" x14ac:dyDescent="0.3">
      <c r="A510" s="1">
        <v>992</v>
      </c>
      <c r="B510" s="1" t="s">
        <v>1812</v>
      </c>
      <c r="C510" s="1" t="s">
        <v>1813</v>
      </c>
      <c r="D510" s="1">
        <v>9.6869999999999994</v>
      </c>
      <c r="E510" s="1" t="s">
        <v>1814</v>
      </c>
      <c r="F510" s="1" t="s">
        <v>1815</v>
      </c>
      <c r="G510" s="1">
        <v>330.18077</v>
      </c>
      <c r="H510" s="2">
        <v>44714907.160251603</v>
      </c>
      <c r="I510" s="1" t="s">
        <v>23</v>
      </c>
      <c r="J510" s="1">
        <v>330.37497999999999</v>
      </c>
      <c r="K510" s="1">
        <v>331.18804999999998</v>
      </c>
      <c r="L510" s="7">
        <f>G510-J510</f>
        <v>-0.19420999999999822</v>
      </c>
      <c r="M510" s="1" t="s">
        <v>1816</v>
      </c>
      <c r="N510" s="2">
        <v>16138141.7571308</v>
      </c>
      <c r="O510" s="1">
        <v>7894401.7406538697</v>
      </c>
      <c r="P510" s="1">
        <v>4305495.8135486897</v>
      </c>
      <c r="Q510" s="1">
        <f>STDEV(N510:P510)</f>
        <v>6067000.9785044547</v>
      </c>
      <c r="R510" s="1">
        <v>9446013.1037777867</v>
      </c>
      <c r="S510" s="1">
        <v>1.158381398176361E-2</v>
      </c>
    </row>
    <row r="511" spans="1:19" x14ac:dyDescent="0.3">
      <c r="A511" s="1">
        <v>974</v>
      </c>
      <c r="B511" s="1" t="s">
        <v>2267</v>
      </c>
      <c r="C511" s="1" t="s">
        <v>2268</v>
      </c>
      <c r="D511" s="1">
        <v>7.4740000000000002</v>
      </c>
      <c r="E511" s="1" t="s">
        <v>2269</v>
      </c>
      <c r="F511" s="1" t="s">
        <v>2270</v>
      </c>
      <c r="G511" s="1">
        <v>332.19637999999998</v>
      </c>
      <c r="H511" s="2">
        <v>120104569.79255199</v>
      </c>
      <c r="I511" s="1" t="s">
        <v>23</v>
      </c>
      <c r="J511" s="1">
        <v>332.39085999999998</v>
      </c>
      <c r="K511" s="1">
        <v>333.20352000000003</v>
      </c>
      <c r="L511" s="7">
        <f>G511-J511</f>
        <v>-0.19447999999999865</v>
      </c>
      <c r="M511" s="1" t="s">
        <v>2271</v>
      </c>
      <c r="N511" s="2">
        <v>3129045.7606345098</v>
      </c>
      <c r="O511" s="1">
        <v>5861581.1846583802</v>
      </c>
      <c r="P511" s="1">
        <v>5922322.6217414401</v>
      </c>
      <c r="Q511" s="1">
        <f>STDEV(N511:P511)</f>
        <v>1595453.6966288309</v>
      </c>
      <c r="R511" s="1">
        <v>4970983.1890114434</v>
      </c>
      <c r="S511" s="1">
        <v>6.0960051542754273E-3</v>
      </c>
    </row>
    <row r="512" spans="1:19" x14ac:dyDescent="0.3">
      <c r="A512" s="1">
        <v>663</v>
      </c>
      <c r="B512" s="1" t="s">
        <v>1914</v>
      </c>
      <c r="C512" s="1" t="s">
        <v>1915</v>
      </c>
      <c r="D512" s="1">
        <v>7.5469999999999997</v>
      </c>
      <c r="E512" s="1" t="s">
        <v>1916</v>
      </c>
      <c r="F512" s="1" t="s">
        <v>1917</v>
      </c>
      <c r="G512" s="1">
        <v>324.17583000000002</v>
      </c>
      <c r="H512" s="2">
        <v>89146679.891709402</v>
      </c>
      <c r="I512" s="1" t="s">
        <v>456</v>
      </c>
      <c r="J512" s="1">
        <v>324.37040000000002</v>
      </c>
      <c r="K512" s="1">
        <v>671.34025999999994</v>
      </c>
      <c r="L512" s="7">
        <f>G512-J512</f>
        <v>-0.1945699999999988</v>
      </c>
      <c r="M512" s="1" t="s">
        <v>1918</v>
      </c>
      <c r="N512" s="2">
        <v>9033669.67619792</v>
      </c>
      <c r="O512" s="1">
        <v>7474644.1328061</v>
      </c>
      <c r="P512" s="1">
        <v>7779454.6158872796</v>
      </c>
      <c r="Q512" s="1">
        <f>STDEV(N512:P512)</f>
        <v>826289.44616423256</v>
      </c>
      <c r="R512" s="1">
        <v>8095922.8082971005</v>
      </c>
      <c r="S512" s="1">
        <v>9.9281742245862781E-3</v>
      </c>
    </row>
    <row r="513" spans="1:19" x14ac:dyDescent="0.3">
      <c r="A513" s="1">
        <v>96</v>
      </c>
      <c r="B513" s="1" t="s">
        <v>2830</v>
      </c>
      <c r="C513" s="1" t="s">
        <v>2831</v>
      </c>
      <c r="D513" s="1">
        <v>0.41199999999999998</v>
      </c>
      <c r="E513" s="1" t="s">
        <v>2832</v>
      </c>
      <c r="F513" s="1" t="s">
        <v>2833</v>
      </c>
      <c r="G513" s="1">
        <v>298.22773000000001</v>
      </c>
      <c r="H513" s="2">
        <v>3777932.1554224798</v>
      </c>
      <c r="I513" s="1" t="s">
        <v>23</v>
      </c>
      <c r="J513" s="1">
        <v>298.42254000000003</v>
      </c>
      <c r="K513" s="1">
        <v>299.23500000000001</v>
      </c>
      <c r="L513" s="7">
        <f>G513-J513</f>
        <v>-0.19481000000001814</v>
      </c>
      <c r="M513" s="1" t="s">
        <v>2834</v>
      </c>
      <c r="N513" s="2">
        <v>359867.43380823202</v>
      </c>
      <c r="O513" s="1">
        <v>3708681.3053496098</v>
      </c>
      <c r="P513" s="1">
        <v>2947289.5517583899</v>
      </c>
      <c r="Q513" s="1">
        <f>STDEV(N513:P513)</f>
        <v>1755421.3627655676</v>
      </c>
      <c r="R513" s="1">
        <v>2338612.7636387441</v>
      </c>
      <c r="S513" s="1">
        <v>2.8678824528133536E-3</v>
      </c>
    </row>
    <row r="514" spans="1:19" x14ac:dyDescent="0.3">
      <c r="A514" s="1">
        <v>493</v>
      </c>
      <c r="B514" s="1" t="s">
        <v>4083</v>
      </c>
      <c r="C514" s="1" t="s">
        <v>4084</v>
      </c>
      <c r="D514" s="1">
        <v>8.6370000000000005</v>
      </c>
      <c r="E514" s="1" t="s">
        <v>4085</v>
      </c>
      <c r="F514" s="1" t="s">
        <v>4086</v>
      </c>
      <c r="G514" s="1">
        <v>378.22293000000002</v>
      </c>
      <c r="H514" s="2">
        <v>704198.46288387396</v>
      </c>
      <c r="I514" s="1" t="s">
        <v>17</v>
      </c>
      <c r="J514" s="1">
        <v>378.41777999999999</v>
      </c>
      <c r="K514" s="1">
        <v>377.21564999999998</v>
      </c>
      <c r="L514" s="7">
        <f>G514-J514</f>
        <v>-0.19484999999997399</v>
      </c>
      <c r="M514" s="1" t="s">
        <v>24</v>
      </c>
      <c r="N514" s="2">
        <v>704198.46288387396</v>
      </c>
      <c r="O514" s="1">
        <v>409637.52361364599</v>
      </c>
      <c r="P514" s="1">
        <v>485353.22214048897</v>
      </c>
      <c r="Q514" s="1">
        <f>STDEV(N514:P514)</f>
        <v>152966.36522625762</v>
      </c>
      <c r="R514" s="1">
        <v>533063.06954600301</v>
      </c>
      <c r="S514" s="1">
        <v>6.5370472921525585E-4</v>
      </c>
    </row>
    <row r="515" spans="1:19" x14ac:dyDescent="0.3">
      <c r="A515" s="1">
        <v>711</v>
      </c>
      <c r="B515" s="1" t="s">
        <v>210</v>
      </c>
      <c r="C515" s="1" t="s">
        <v>211</v>
      </c>
      <c r="D515" s="1">
        <v>11.21</v>
      </c>
      <c r="E515" s="1" t="s">
        <v>212</v>
      </c>
      <c r="F515" s="1" t="s">
        <v>213</v>
      </c>
      <c r="G515" s="1">
        <v>460.27785999999998</v>
      </c>
      <c r="H515" s="2">
        <v>529856006.92034799</v>
      </c>
      <c r="I515" s="1" t="s">
        <v>17</v>
      </c>
      <c r="J515" s="1">
        <v>460.47372000000001</v>
      </c>
      <c r="K515" s="1">
        <v>459.27058</v>
      </c>
      <c r="L515" s="7">
        <f>G515-J515</f>
        <v>-0.19586000000003878</v>
      </c>
      <c r="M515" s="1" t="s">
        <v>214</v>
      </c>
      <c r="N515" s="2">
        <v>291674230.85322899</v>
      </c>
      <c r="O515" s="1">
        <v>321763761.27970302</v>
      </c>
      <c r="P515" s="1">
        <v>317878845.14417702</v>
      </c>
      <c r="Q515" s="1">
        <f>STDEV(N515:P515)</f>
        <v>16366399.648890074</v>
      </c>
      <c r="R515" s="1">
        <v>310438945.7590363</v>
      </c>
      <c r="S515" s="1">
        <v>0.38069680412885387</v>
      </c>
    </row>
    <row r="516" spans="1:19" x14ac:dyDescent="0.3">
      <c r="A516" s="1">
        <v>142</v>
      </c>
      <c r="B516" s="1" t="s">
        <v>2316</v>
      </c>
      <c r="C516" s="1" t="s">
        <v>2317</v>
      </c>
      <c r="D516" s="1">
        <v>11.765000000000001</v>
      </c>
      <c r="E516" s="1" t="s">
        <v>2318</v>
      </c>
      <c r="F516" s="1" t="s">
        <v>2319</v>
      </c>
      <c r="G516" s="1">
        <v>532.30708000000004</v>
      </c>
      <c r="H516" s="2">
        <v>56177216.708693802</v>
      </c>
      <c r="I516" s="1" t="s">
        <v>17</v>
      </c>
      <c r="J516" s="1">
        <v>532.50300000000004</v>
      </c>
      <c r="K516" s="1">
        <v>531.2998</v>
      </c>
      <c r="L516" s="7">
        <f>G516-J516</f>
        <v>-0.19592000000000098</v>
      </c>
      <c r="M516" s="1" t="s">
        <v>2320</v>
      </c>
      <c r="N516" s="2">
        <v>6397477.3885470601</v>
      </c>
      <c r="O516" s="1">
        <v>7280237.79291132</v>
      </c>
      <c r="P516" s="1">
        <v>582626.44250988006</v>
      </c>
      <c r="Q516" s="1">
        <f>STDEV(N516:P516)</f>
        <v>3638904.4884683136</v>
      </c>
      <c r="R516" s="1">
        <v>4753447.2079894198</v>
      </c>
      <c r="S516" s="1">
        <v>5.8292369092163773E-3</v>
      </c>
    </row>
    <row r="517" spans="1:19" x14ac:dyDescent="0.3">
      <c r="A517" s="1">
        <v>123</v>
      </c>
      <c r="B517" s="1" t="s">
        <v>3341</v>
      </c>
      <c r="C517" s="1" t="s">
        <v>3342</v>
      </c>
      <c r="D517" s="1">
        <v>9.99</v>
      </c>
      <c r="E517" s="1" t="s">
        <v>3343</v>
      </c>
      <c r="F517" s="1" t="s">
        <v>3344</v>
      </c>
      <c r="G517" s="1">
        <v>275.15010000000001</v>
      </c>
      <c r="H517" s="2">
        <v>81992639.761391997</v>
      </c>
      <c r="I517" s="1" t="s">
        <v>23</v>
      </c>
      <c r="J517" s="1">
        <v>275.34613999999999</v>
      </c>
      <c r="K517" s="1">
        <v>276.15737999999999</v>
      </c>
      <c r="L517" s="7">
        <f>G517-J517</f>
        <v>-0.19603999999998223</v>
      </c>
      <c r="M517" s="1" t="s">
        <v>3345</v>
      </c>
      <c r="N517" s="2">
        <v>1035290.35040813</v>
      </c>
      <c r="O517" s="1">
        <v>1211780.9485578099</v>
      </c>
      <c r="P517" s="1">
        <v>1439060.2754206101</v>
      </c>
      <c r="Q517" s="1">
        <f>STDEV(N517:P517)</f>
        <v>202416.63963181712</v>
      </c>
      <c r="R517" s="1">
        <v>1228710.5247955166</v>
      </c>
      <c r="S517" s="1">
        <v>1.5067895841658402E-3</v>
      </c>
    </row>
    <row r="518" spans="1:19" x14ac:dyDescent="0.3">
      <c r="A518" s="1">
        <v>504</v>
      </c>
      <c r="B518" s="1" t="s">
        <v>13</v>
      </c>
      <c r="C518" s="1" t="s">
        <v>14</v>
      </c>
      <c r="D518" s="1">
        <v>12.375</v>
      </c>
      <c r="E518" s="1" t="s">
        <v>15</v>
      </c>
      <c r="F518" s="1" t="s">
        <v>16</v>
      </c>
      <c r="G518" s="1">
        <v>392.29070999999999</v>
      </c>
      <c r="H518" s="2">
        <v>19434946812.6381</v>
      </c>
      <c r="I518" s="1" t="s">
        <v>17</v>
      </c>
      <c r="J518" s="1">
        <v>392.48741999999999</v>
      </c>
      <c r="K518" s="1">
        <v>391.28348</v>
      </c>
      <c r="L518" s="7">
        <f>G518-J518</f>
        <v>-0.19670999999999594</v>
      </c>
      <c r="M518" s="1" t="s">
        <v>18</v>
      </c>
      <c r="N518" s="2">
        <v>15789770847.727699</v>
      </c>
      <c r="O518" s="1">
        <v>13496694988.416</v>
      </c>
      <c r="P518" s="1">
        <v>6386775508.4697199</v>
      </c>
      <c r="Q518" s="1">
        <f>STDEV(N518:P518)</f>
        <v>4902813363.3997192</v>
      </c>
      <c r="R518" s="1">
        <v>11891080448.2045</v>
      </c>
      <c r="S518" s="1">
        <v>14.5822435815909</v>
      </c>
    </row>
    <row r="519" spans="1:19" x14ac:dyDescent="0.3">
      <c r="A519" s="1">
        <v>716</v>
      </c>
      <c r="B519" s="1" t="s">
        <v>486</v>
      </c>
      <c r="C519" s="1" t="s">
        <v>487</v>
      </c>
      <c r="D519" s="1">
        <v>13.33</v>
      </c>
      <c r="E519" s="1" t="s">
        <v>488</v>
      </c>
      <c r="F519" s="1" t="s">
        <v>489</v>
      </c>
      <c r="G519" s="1">
        <v>316.23754000000002</v>
      </c>
      <c r="H519" s="2">
        <v>223287681.46554399</v>
      </c>
      <c r="I519" s="1" t="s">
        <v>23</v>
      </c>
      <c r="J519" s="1">
        <v>316.43452000000002</v>
      </c>
      <c r="K519" s="1">
        <v>317.24480999999997</v>
      </c>
      <c r="L519" s="7">
        <f>G519-J519</f>
        <v>-0.19697999999999638</v>
      </c>
      <c r="M519" s="1" t="s">
        <v>490</v>
      </c>
      <c r="N519" s="2">
        <v>223287681.46554399</v>
      </c>
      <c r="O519" s="1">
        <v>62840491.779556498</v>
      </c>
      <c r="P519" s="1">
        <v>33763354.968276098</v>
      </c>
      <c r="Q519" s="1">
        <f>STDEV(N519:P519)</f>
        <v>102068809.22325239</v>
      </c>
      <c r="R519" s="1">
        <v>106630509.40445887</v>
      </c>
      <c r="S519" s="1">
        <v>0.13076289140737613</v>
      </c>
    </row>
    <row r="520" spans="1:19" x14ac:dyDescent="0.3">
      <c r="A520" s="1">
        <v>316</v>
      </c>
      <c r="B520" s="1" t="s">
        <v>3556</v>
      </c>
      <c r="C520" s="1" t="s">
        <v>3557</v>
      </c>
      <c r="D520" s="1">
        <v>11.417999999999999</v>
      </c>
      <c r="E520" s="1" t="s">
        <v>3558</v>
      </c>
      <c r="F520" s="1" t="s">
        <v>3559</v>
      </c>
      <c r="G520" s="1">
        <v>167.09376</v>
      </c>
      <c r="H520" s="2">
        <v>1332289.27681879</v>
      </c>
      <c r="I520" s="1" t="s">
        <v>23</v>
      </c>
      <c r="J520" s="1">
        <v>167.29114000000001</v>
      </c>
      <c r="K520" s="1">
        <v>168.10096999999999</v>
      </c>
      <c r="L520" s="7">
        <f>G520-J520</f>
        <v>-0.19738000000000966</v>
      </c>
      <c r="M520" s="1" t="s">
        <v>24</v>
      </c>
      <c r="N520" s="2">
        <v>1104276.5008450199</v>
      </c>
      <c r="O520" s="1">
        <v>575941.05580510001</v>
      </c>
      <c r="P520" s="1">
        <v>1188798.8607089301</v>
      </c>
      <c r="Q520" s="1">
        <f>STDEV(N520:P520)</f>
        <v>332133.77345933876</v>
      </c>
      <c r="R520" s="1">
        <v>956338.80578634993</v>
      </c>
      <c r="S520" s="1">
        <v>1.1727752976904656E-3</v>
      </c>
    </row>
    <row r="521" spans="1:19" x14ac:dyDescent="0.3">
      <c r="A521" s="1">
        <v>924</v>
      </c>
      <c r="B521" s="1" t="s">
        <v>141</v>
      </c>
      <c r="C521" s="1" t="s">
        <v>142</v>
      </c>
      <c r="D521" s="1">
        <v>12.689</v>
      </c>
      <c r="E521" s="1" t="s">
        <v>143</v>
      </c>
      <c r="F521" s="1" t="s">
        <v>144</v>
      </c>
      <c r="G521" s="1">
        <v>326.19173999999998</v>
      </c>
      <c r="H521" s="2">
        <v>664146166.18249905</v>
      </c>
      <c r="I521" s="1" t="s">
        <v>23</v>
      </c>
      <c r="J521" s="1">
        <v>326.38958000000002</v>
      </c>
      <c r="K521" s="1">
        <v>327.19900999999999</v>
      </c>
      <c r="L521" s="7">
        <f>G521-J521</f>
        <v>-0.19784000000004198</v>
      </c>
      <c r="M521" s="1" t="s">
        <v>145</v>
      </c>
      <c r="N521" s="2">
        <v>664146166.18249905</v>
      </c>
      <c r="O521" s="1">
        <v>595289611.12778199</v>
      </c>
      <c r="P521" s="1">
        <v>281012090.03826302</v>
      </c>
      <c r="Q521" s="1">
        <f>STDEV(N521:P521)</f>
        <v>204247931.74761635</v>
      </c>
      <c r="R521" s="1">
        <v>513482622.44951469</v>
      </c>
      <c r="S521" s="1">
        <v>0.62969287846366506</v>
      </c>
    </row>
    <row r="522" spans="1:19" x14ac:dyDescent="0.3">
      <c r="A522" s="1">
        <v>308</v>
      </c>
      <c r="B522" s="1" t="s">
        <v>3237</v>
      </c>
      <c r="C522" s="1" t="s">
        <v>3238</v>
      </c>
      <c r="D522" s="1">
        <v>2.9830000000000001</v>
      </c>
      <c r="E522" s="1" t="s">
        <v>3239</v>
      </c>
      <c r="F522" s="1" t="s">
        <v>3240</v>
      </c>
      <c r="G522" s="1">
        <v>219.12454</v>
      </c>
      <c r="H522" s="2">
        <v>2516038.9574189498</v>
      </c>
      <c r="I522" s="1" t="s">
        <v>23</v>
      </c>
      <c r="J522" s="1">
        <v>219.32264000000001</v>
      </c>
      <c r="K522" s="1">
        <v>220.13182</v>
      </c>
      <c r="L522" s="7">
        <f>G522-J522</f>
        <v>-0.19810000000001082</v>
      </c>
      <c r="M522" s="1" t="s">
        <v>3241</v>
      </c>
      <c r="N522" s="2">
        <v>642090.97104413004</v>
      </c>
      <c r="O522" s="1">
        <v>2516038.9574189498</v>
      </c>
      <c r="P522" s="1">
        <v>1250313.2321269801</v>
      </c>
      <c r="Q522" s="1">
        <f>STDEV(N522:P522)</f>
        <v>956005.31607490347</v>
      </c>
      <c r="R522" s="1">
        <v>1469481.0535300199</v>
      </c>
      <c r="S522" s="1">
        <v>1.802050768594636E-3</v>
      </c>
    </row>
    <row r="523" spans="1:19" x14ac:dyDescent="0.3">
      <c r="A523" s="1">
        <v>277</v>
      </c>
      <c r="B523" s="1" t="s">
        <v>2383</v>
      </c>
      <c r="C523" s="1" t="s">
        <v>2384</v>
      </c>
      <c r="D523" s="1">
        <v>9.6579999999999995</v>
      </c>
      <c r="E523" s="1" t="s">
        <v>2385</v>
      </c>
      <c r="F523" s="1" t="s">
        <v>2386</v>
      </c>
      <c r="G523" s="1">
        <v>256.14436999999998</v>
      </c>
      <c r="H523" s="2">
        <v>134285705.09792399</v>
      </c>
      <c r="I523" s="1" t="s">
        <v>23</v>
      </c>
      <c r="J523" s="1">
        <v>256.34280000000001</v>
      </c>
      <c r="K523" s="1">
        <v>257.15163999999999</v>
      </c>
      <c r="L523" s="7">
        <f>G523-J523</f>
        <v>-0.1984300000000303</v>
      </c>
      <c r="M523" s="1" t="s">
        <v>2387</v>
      </c>
      <c r="N523" s="2">
        <v>3688191.250335</v>
      </c>
      <c r="O523" s="1">
        <v>4330302.7710346803</v>
      </c>
      <c r="P523" s="1">
        <v>4572752.3179393103</v>
      </c>
      <c r="Q523" s="1">
        <f>STDEV(N523:P523)</f>
        <v>457080.82256328838</v>
      </c>
      <c r="R523" s="1">
        <v>4197082.1131029977</v>
      </c>
      <c r="S523" s="1">
        <v>5.1469564916153199E-3</v>
      </c>
    </row>
    <row r="524" spans="1:19" x14ac:dyDescent="0.3">
      <c r="A524" s="1">
        <v>137</v>
      </c>
      <c r="B524" s="1" t="s">
        <v>3946</v>
      </c>
      <c r="C524" s="1" t="s">
        <v>3947</v>
      </c>
      <c r="D524" s="1">
        <v>10.686999999999999</v>
      </c>
      <c r="E524" s="1" t="s">
        <v>3948</v>
      </c>
      <c r="F524" s="1" t="s">
        <v>3949</v>
      </c>
      <c r="G524" s="1">
        <v>336.22851000000003</v>
      </c>
      <c r="H524" s="2">
        <v>1471106.17429377</v>
      </c>
      <c r="I524" s="1" t="s">
        <v>1658</v>
      </c>
      <c r="J524" s="1">
        <v>336.42746</v>
      </c>
      <c r="K524" s="1">
        <v>395.24230999999997</v>
      </c>
      <c r="L524" s="7">
        <f>G524-J524</f>
        <v>-0.19894999999996799</v>
      </c>
      <c r="M524" s="1" t="s">
        <v>3950</v>
      </c>
      <c r="N524" s="2">
        <v>1471106.17429377</v>
      </c>
      <c r="O524" s="1">
        <v>245106.09782249501</v>
      </c>
      <c r="P524" s="1">
        <v>205557.013741273</v>
      </c>
      <c r="Q524" s="1">
        <f>STDEV(N524:P524)</f>
        <v>719520.0941523877</v>
      </c>
      <c r="R524" s="1">
        <v>640589.76195251266</v>
      </c>
      <c r="S524" s="1">
        <v>7.8556662578759657E-4</v>
      </c>
    </row>
    <row r="525" spans="1:19" x14ac:dyDescent="0.3">
      <c r="A525" s="1">
        <v>593</v>
      </c>
      <c r="B525" s="1" t="s">
        <v>1033</v>
      </c>
      <c r="C525" s="1" t="s">
        <v>1034</v>
      </c>
      <c r="D525" s="1">
        <v>7.6950000000000003</v>
      </c>
      <c r="E525" s="1" t="s">
        <v>1035</v>
      </c>
      <c r="F525" s="1" t="s">
        <v>1036</v>
      </c>
      <c r="G525" s="1">
        <v>244.12944999999999</v>
      </c>
      <c r="H525" s="2">
        <v>75910066.205029696</v>
      </c>
      <c r="I525" s="1" t="s">
        <v>17</v>
      </c>
      <c r="J525" s="1">
        <v>244.3288</v>
      </c>
      <c r="K525" s="1">
        <v>243.12217000000001</v>
      </c>
      <c r="L525" s="7">
        <f>G525-J525</f>
        <v>-0.19935000000000969</v>
      </c>
      <c r="M525" s="1" t="s">
        <v>1037</v>
      </c>
      <c r="N525" s="2">
        <v>38102014.004826002</v>
      </c>
      <c r="O525" s="1">
        <v>39462680.998822197</v>
      </c>
      <c r="P525" s="1">
        <v>41706091.511733897</v>
      </c>
      <c r="Q525" s="1">
        <f>STDEV(N525:P525)</f>
        <v>1819967.036047302</v>
      </c>
      <c r="R525" s="1">
        <v>39756928.838460691</v>
      </c>
      <c r="S525" s="1">
        <v>4.8754629396687711E-2</v>
      </c>
    </row>
    <row r="526" spans="1:19" x14ac:dyDescent="0.3">
      <c r="A526" s="1">
        <v>973</v>
      </c>
      <c r="B526" s="1" t="s">
        <v>3730</v>
      </c>
      <c r="C526" s="1" t="s">
        <v>3731</v>
      </c>
      <c r="D526" s="1">
        <v>10.263999999999999</v>
      </c>
      <c r="E526" s="1" t="s">
        <v>3732</v>
      </c>
      <c r="F526" s="1" t="s">
        <v>3733</v>
      </c>
      <c r="G526" s="1">
        <v>348.18968000000001</v>
      </c>
      <c r="H526" s="2">
        <v>1065363.2689980001</v>
      </c>
      <c r="I526" s="1" t="s">
        <v>23</v>
      </c>
      <c r="J526" s="1">
        <v>348.39026000000001</v>
      </c>
      <c r="K526" s="1">
        <v>349.19695999999999</v>
      </c>
      <c r="L526" s="7">
        <f>G526-J526</f>
        <v>-0.2005800000000022</v>
      </c>
      <c r="M526" s="1" t="s">
        <v>24</v>
      </c>
      <c r="N526" s="2">
        <v>654563.65934603696</v>
      </c>
      <c r="O526" s="1">
        <v>737033.88546961395</v>
      </c>
      <c r="P526" s="1">
        <v>1065363.2689980001</v>
      </c>
      <c r="Q526" s="1">
        <f>STDEV(N526:P526)</f>
        <v>217316.14511858419</v>
      </c>
      <c r="R526" s="1">
        <v>818986.93793788366</v>
      </c>
      <c r="S526" s="1">
        <v>1.004338257668989E-3</v>
      </c>
    </row>
    <row r="527" spans="1:19" x14ac:dyDescent="0.3">
      <c r="A527" s="1">
        <v>306</v>
      </c>
      <c r="B527" s="1" t="s">
        <v>3544</v>
      </c>
      <c r="C527" s="1" t="s">
        <v>3545</v>
      </c>
      <c r="D527" s="1">
        <v>6.0540000000000003</v>
      </c>
      <c r="E527" s="1" t="s">
        <v>3546</v>
      </c>
      <c r="F527" s="1" t="s">
        <v>3547</v>
      </c>
      <c r="G527" s="1">
        <v>233.14807999999999</v>
      </c>
      <c r="H527" s="2">
        <v>1590790.8575462699</v>
      </c>
      <c r="I527" s="1" t="s">
        <v>2945</v>
      </c>
      <c r="J527" s="1">
        <v>233.34922</v>
      </c>
      <c r="K527" s="1">
        <v>272.11108000000002</v>
      </c>
      <c r="L527" s="7">
        <f>G527-J527</f>
        <v>-0.20114000000000942</v>
      </c>
      <c r="M527" s="1" t="s">
        <v>24</v>
      </c>
      <c r="N527" s="2">
        <v>571507.43286799896</v>
      </c>
      <c r="O527" s="1">
        <v>766008.45859447401</v>
      </c>
      <c r="P527" s="1">
        <v>1590790.8575462699</v>
      </c>
      <c r="Q527" s="1">
        <f>STDEV(N527:P527)</f>
        <v>541146.21475364582</v>
      </c>
      <c r="R527" s="1">
        <v>976102.24966958107</v>
      </c>
      <c r="S527" s="1">
        <v>1.1970115606584699E-3</v>
      </c>
    </row>
    <row r="528" spans="1:19" x14ac:dyDescent="0.3">
      <c r="A528" s="1">
        <v>589</v>
      </c>
      <c r="B528" s="1" t="s">
        <v>30</v>
      </c>
      <c r="C528" s="1" t="s">
        <v>31</v>
      </c>
      <c r="D528" s="1">
        <v>14.871</v>
      </c>
      <c r="E528" s="1" t="s">
        <v>32</v>
      </c>
      <c r="F528" s="1" t="s">
        <v>33</v>
      </c>
      <c r="G528" s="1">
        <v>294.18477999999999</v>
      </c>
      <c r="H528" s="2">
        <v>49231886229.4646</v>
      </c>
      <c r="I528" s="1" t="s">
        <v>17</v>
      </c>
      <c r="J528" s="1">
        <v>294.38594000000001</v>
      </c>
      <c r="K528" s="1">
        <v>293.17750000000001</v>
      </c>
      <c r="L528" s="7">
        <f>G528-J528</f>
        <v>-0.20116000000001577</v>
      </c>
      <c r="M528" s="1" t="s">
        <v>34</v>
      </c>
      <c r="N528" s="2">
        <v>1000809803.0502599</v>
      </c>
      <c r="O528" s="1">
        <v>4069516646.6599302</v>
      </c>
      <c r="P528" s="1">
        <v>4949530007.3891697</v>
      </c>
      <c r="Q528" s="1">
        <f>STDEV(N528:P528)</f>
        <v>2072992058.9666655</v>
      </c>
      <c r="R528" s="1">
        <v>3339952152.3664532</v>
      </c>
      <c r="S528" s="1">
        <v>4.0958427662492616</v>
      </c>
    </row>
    <row r="529" spans="1:19" x14ac:dyDescent="0.3">
      <c r="A529" s="1">
        <v>717</v>
      </c>
      <c r="B529" s="1" t="s">
        <v>845</v>
      </c>
      <c r="C529" s="1" t="s">
        <v>846</v>
      </c>
      <c r="D529" s="1">
        <v>7.8E-2</v>
      </c>
      <c r="E529" s="1" t="s">
        <v>847</v>
      </c>
      <c r="F529" s="1" t="s">
        <v>848</v>
      </c>
      <c r="G529" s="1">
        <v>332.23268000000002</v>
      </c>
      <c r="H529" s="2">
        <v>91874542.455150694</v>
      </c>
      <c r="I529" s="1" t="s">
        <v>23</v>
      </c>
      <c r="J529" s="1">
        <v>332.43392</v>
      </c>
      <c r="K529" s="1">
        <v>333.23996</v>
      </c>
      <c r="L529" s="7">
        <f>G529-J529</f>
        <v>-0.20123999999998432</v>
      </c>
      <c r="M529" s="1" t="s">
        <v>849</v>
      </c>
      <c r="N529" s="2">
        <v>1918987.85310083</v>
      </c>
      <c r="O529" s="1">
        <v>61982340.018671602</v>
      </c>
      <c r="P529" s="1">
        <v>91874542.455150694</v>
      </c>
      <c r="Q529" s="1">
        <f>STDEV(N529:P529)</f>
        <v>45813302.005042143</v>
      </c>
      <c r="R529" s="1">
        <v>51925290.108974375</v>
      </c>
      <c r="S529" s="1">
        <v>6.3676907385499096E-2</v>
      </c>
    </row>
    <row r="530" spans="1:19" x14ac:dyDescent="0.3">
      <c r="A530" s="1">
        <v>731</v>
      </c>
      <c r="B530" s="1" t="s">
        <v>624</v>
      </c>
      <c r="C530" s="1" t="s">
        <v>625</v>
      </c>
      <c r="D530" s="1">
        <v>13.305</v>
      </c>
      <c r="E530" s="1" t="s">
        <v>626</v>
      </c>
      <c r="F530" s="1" t="s">
        <v>627</v>
      </c>
      <c r="G530" s="1">
        <v>334.24849</v>
      </c>
      <c r="H530" s="2">
        <v>205221835.85580799</v>
      </c>
      <c r="I530" s="1" t="s">
        <v>23</v>
      </c>
      <c r="J530" s="1">
        <v>334.44979999999998</v>
      </c>
      <c r="K530" s="1">
        <v>335.25576999999998</v>
      </c>
      <c r="L530" s="7">
        <f>G530-J530</f>
        <v>-0.20130999999997812</v>
      </c>
      <c r="M530" s="1" t="s">
        <v>628</v>
      </c>
      <c r="N530" s="2">
        <v>97291086.176020607</v>
      </c>
      <c r="O530" s="1">
        <v>111072247.117137</v>
      </c>
      <c r="P530" s="1">
        <v>38452243.493989602</v>
      </c>
      <c r="Q530" s="1">
        <f>STDEV(N530:P530)</f>
        <v>38569406.553363144</v>
      </c>
      <c r="R530" s="1">
        <v>82271858.929049075</v>
      </c>
      <c r="S530" s="1">
        <v>0.10089144481356431</v>
      </c>
    </row>
    <row r="531" spans="1:19" x14ac:dyDescent="0.3">
      <c r="A531" s="1">
        <v>103</v>
      </c>
      <c r="B531" s="1" t="s">
        <v>1923</v>
      </c>
      <c r="C531" s="1" t="s">
        <v>1924</v>
      </c>
      <c r="D531" s="1">
        <v>10.657999999999999</v>
      </c>
      <c r="E531" s="1" t="s">
        <v>1925</v>
      </c>
      <c r="F531" s="1" t="s">
        <v>1926</v>
      </c>
      <c r="G531" s="1">
        <v>212.04544999999999</v>
      </c>
      <c r="H531" s="2">
        <v>26534617.201876901</v>
      </c>
      <c r="I531" s="1" t="s">
        <v>17</v>
      </c>
      <c r="J531" s="1">
        <v>212.24717999999999</v>
      </c>
      <c r="K531" s="1">
        <v>211.03818000000001</v>
      </c>
      <c r="L531" s="7">
        <f>G531-J531</f>
        <v>-0.20172999999999774</v>
      </c>
      <c r="M531" s="1" t="s">
        <v>1927</v>
      </c>
      <c r="N531" s="2">
        <v>2556714.8207674199</v>
      </c>
      <c r="O531" s="1">
        <v>6517704.1429094803</v>
      </c>
      <c r="P531" s="1">
        <v>14831931.113627501</v>
      </c>
      <c r="Q531" s="1">
        <f>STDEV(N531:P531)</f>
        <v>6264938.7010466969</v>
      </c>
      <c r="R531" s="1">
        <v>7968783.3591014668</v>
      </c>
      <c r="S531" s="1">
        <v>9.7722608553112451E-3</v>
      </c>
    </row>
    <row r="532" spans="1:19" x14ac:dyDescent="0.3">
      <c r="A532" s="1">
        <v>457</v>
      </c>
      <c r="B532" s="1" t="s">
        <v>2049</v>
      </c>
      <c r="C532" s="1" t="s">
        <v>2050</v>
      </c>
      <c r="D532" s="1">
        <v>7.99</v>
      </c>
      <c r="E532" s="1" t="s">
        <v>2051</v>
      </c>
      <c r="F532" s="1" t="s">
        <v>2052</v>
      </c>
      <c r="G532" s="1">
        <v>464.26042000000001</v>
      </c>
      <c r="H532" s="2">
        <v>10682280.842882199</v>
      </c>
      <c r="I532" s="1" t="s">
        <v>17</v>
      </c>
      <c r="J532" s="1">
        <v>464.46242000000001</v>
      </c>
      <c r="K532" s="1">
        <v>463.25313999999997</v>
      </c>
      <c r="L532" s="7">
        <f>G532-J532</f>
        <v>-0.20199999999999818</v>
      </c>
      <c r="M532" s="1" t="s">
        <v>2053</v>
      </c>
      <c r="N532" s="2">
        <v>4808758.98670174</v>
      </c>
      <c r="O532" s="1">
        <v>5573615.3611393003</v>
      </c>
      <c r="P532" s="1">
        <v>10682280.842882199</v>
      </c>
      <c r="Q532" s="1">
        <f>STDEV(N532:P532)</f>
        <v>3193267.0645411275</v>
      </c>
      <c r="R532" s="1">
        <v>7021551.7302410798</v>
      </c>
      <c r="S532" s="1">
        <v>8.6106538507673535E-3</v>
      </c>
    </row>
    <row r="533" spans="1:19" x14ac:dyDescent="0.3">
      <c r="A533" s="1">
        <v>996</v>
      </c>
      <c r="B533" s="1" t="s">
        <v>898</v>
      </c>
      <c r="C533" s="1" t="s">
        <v>899</v>
      </c>
      <c r="D533" s="1">
        <v>13.237</v>
      </c>
      <c r="E533" s="1" t="s">
        <v>900</v>
      </c>
      <c r="F533" s="1" t="s">
        <v>901</v>
      </c>
      <c r="G533" s="1">
        <v>362.17167000000001</v>
      </c>
      <c r="H533" s="2">
        <v>151341266.378205</v>
      </c>
      <c r="I533" s="1" t="s">
        <v>17</v>
      </c>
      <c r="J533" s="1">
        <v>362.37378000000001</v>
      </c>
      <c r="K533" s="1">
        <v>361.1644</v>
      </c>
      <c r="L533" s="7">
        <f>G533-J533</f>
        <v>-0.20211000000000467</v>
      </c>
      <c r="M533" s="1" t="s">
        <v>902</v>
      </c>
      <c r="N533" s="2">
        <v>50234395.277292401</v>
      </c>
      <c r="O533" s="1">
        <v>53297195.465295702</v>
      </c>
      <c r="P533" s="1">
        <v>42246393.692609303</v>
      </c>
      <c r="Q533" s="1">
        <f>STDEV(N533:P533)</f>
        <v>5705394.145422698</v>
      </c>
      <c r="R533" s="1">
        <v>48592661.478399135</v>
      </c>
      <c r="S533" s="1">
        <v>5.9590045584360596E-2</v>
      </c>
    </row>
    <row r="534" spans="1:19" x14ac:dyDescent="0.3">
      <c r="A534" s="1">
        <v>70</v>
      </c>
      <c r="B534" s="1" t="s">
        <v>3100</v>
      </c>
      <c r="C534" s="1" t="s">
        <v>3101</v>
      </c>
      <c r="D534" s="1">
        <v>11.695</v>
      </c>
      <c r="E534" s="1" t="s">
        <v>3102</v>
      </c>
      <c r="F534" s="1" t="s">
        <v>3103</v>
      </c>
      <c r="G534" s="1">
        <v>336.22505999999998</v>
      </c>
      <c r="H534" s="2">
        <v>58465246.093581699</v>
      </c>
      <c r="I534" s="1" t="s">
        <v>23</v>
      </c>
      <c r="J534" s="1">
        <v>336.42746</v>
      </c>
      <c r="K534" s="1">
        <v>337.23234000000002</v>
      </c>
      <c r="L534" s="7">
        <f>G534-J534</f>
        <v>-0.20240000000001146</v>
      </c>
      <c r="M534" s="1" t="s">
        <v>24</v>
      </c>
      <c r="N534" s="2">
        <v>2229712.33785538</v>
      </c>
      <c r="O534" s="1">
        <v>1599243.7860586001</v>
      </c>
      <c r="P534" s="1">
        <v>1442032.741314</v>
      </c>
      <c r="Q534" s="1">
        <f>STDEV(N534:P534)</f>
        <v>416862.29824767553</v>
      </c>
      <c r="R534" s="1">
        <v>1756996.2884093269</v>
      </c>
      <c r="S534" s="1">
        <v>2.1546358180937705E-3</v>
      </c>
    </row>
    <row r="535" spans="1:19" x14ac:dyDescent="0.3">
      <c r="A535" s="1">
        <v>44</v>
      </c>
      <c r="B535" s="1" t="s">
        <v>1566</v>
      </c>
      <c r="C535" s="1" t="s">
        <v>1567</v>
      </c>
      <c r="D535" s="1">
        <v>10.967000000000001</v>
      </c>
      <c r="E535" s="1" t="s">
        <v>1568</v>
      </c>
      <c r="F535" s="1" t="s">
        <v>1569</v>
      </c>
      <c r="G535" s="1">
        <v>336.22496000000001</v>
      </c>
      <c r="H535" s="2">
        <v>141505494.725734</v>
      </c>
      <c r="I535" s="1" t="s">
        <v>23</v>
      </c>
      <c r="J535" s="1">
        <v>336.42746</v>
      </c>
      <c r="K535" s="1">
        <v>337.23223999999999</v>
      </c>
      <c r="L535" s="7">
        <f>G535-J535</f>
        <v>-0.20249999999998636</v>
      </c>
      <c r="M535" s="1" t="s">
        <v>1570</v>
      </c>
      <c r="N535" s="2">
        <v>25516136.3694782</v>
      </c>
      <c r="O535" s="1">
        <v>12153395.69227</v>
      </c>
      <c r="P535" s="1">
        <v>3784038.4803297101</v>
      </c>
      <c r="Q535" s="1">
        <f>STDEV(N535:P535)</f>
        <v>10961242.761132699</v>
      </c>
      <c r="R535" s="1">
        <v>13817856.847359302</v>
      </c>
      <c r="S535" s="1">
        <v>1.694508377110273E-2</v>
      </c>
    </row>
    <row r="536" spans="1:19" x14ac:dyDescent="0.3">
      <c r="A536" s="1">
        <v>324</v>
      </c>
      <c r="B536" s="1" t="s">
        <v>783</v>
      </c>
      <c r="C536" s="1" t="s">
        <v>784</v>
      </c>
      <c r="D536" s="1">
        <v>7.9189999999999996</v>
      </c>
      <c r="E536" s="1" t="s">
        <v>785</v>
      </c>
      <c r="F536" s="1" t="s">
        <v>786</v>
      </c>
      <c r="G536" s="1">
        <v>244.12957</v>
      </c>
      <c r="H536" s="2">
        <v>190732052.28464201</v>
      </c>
      <c r="I536" s="1" t="s">
        <v>17</v>
      </c>
      <c r="J536" s="1">
        <v>244.3321</v>
      </c>
      <c r="K536" s="1">
        <v>243.12228999999999</v>
      </c>
      <c r="L536" s="7">
        <f>G536-J536</f>
        <v>-0.20252999999999588</v>
      </c>
      <c r="M536" s="1" t="s">
        <v>787</v>
      </c>
      <c r="N536" s="2">
        <v>54449798.928196698</v>
      </c>
      <c r="O536" s="1">
        <v>61557399.748261899</v>
      </c>
      <c r="P536" s="1">
        <v>58153541.838114403</v>
      </c>
      <c r="Q536" s="1">
        <f>STDEV(N536:P536)</f>
        <v>3554854.6532085496</v>
      </c>
      <c r="R536" s="1">
        <v>58053580.171524338</v>
      </c>
      <c r="S536" s="1">
        <v>7.119213855561872E-2</v>
      </c>
    </row>
    <row r="537" spans="1:19" x14ac:dyDescent="0.3">
      <c r="A537" s="1">
        <v>738</v>
      </c>
      <c r="B537" s="1" t="s">
        <v>1372</v>
      </c>
      <c r="C537" s="1" t="s">
        <v>1373</v>
      </c>
      <c r="D537" s="1">
        <v>0.79900000000000004</v>
      </c>
      <c r="E537" s="1" t="s">
        <v>1374</v>
      </c>
      <c r="F537" s="1" t="s">
        <v>1375</v>
      </c>
      <c r="G537" s="1">
        <v>150.01453000000001</v>
      </c>
      <c r="H537" s="2">
        <v>22806606.280360602</v>
      </c>
      <c r="I537" s="1" t="s">
        <v>17</v>
      </c>
      <c r="J537" s="1">
        <v>150.21755999999999</v>
      </c>
      <c r="K537" s="1">
        <v>149.00697</v>
      </c>
      <c r="L537" s="7">
        <f>G537-J537</f>
        <v>-0.20302999999998406</v>
      </c>
      <c r="M537" s="1" t="s">
        <v>1376</v>
      </c>
      <c r="N537" s="2">
        <v>22806606.280360602</v>
      </c>
      <c r="O537" s="1">
        <v>21196957.471011899</v>
      </c>
      <c r="P537" s="1">
        <v>13721885.068125701</v>
      </c>
      <c r="Q537" s="1">
        <f>STDEV(N537:P537)</f>
        <v>4847677.0420112684</v>
      </c>
      <c r="R537" s="1">
        <v>19241816.273166068</v>
      </c>
      <c r="S537" s="1">
        <v>2.3596581746269735E-2</v>
      </c>
    </row>
    <row r="538" spans="1:19" x14ac:dyDescent="0.3">
      <c r="A538" s="1">
        <v>969</v>
      </c>
      <c r="B538" s="1" t="s">
        <v>107</v>
      </c>
      <c r="C538" s="1" t="s">
        <v>108</v>
      </c>
      <c r="D538" s="1">
        <v>0.56999999999999995</v>
      </c>
      <c r="E538" s="1" t="s">
        <v>109</v>
      </c>
      <c r="F538" s="1" t="s">
        <v>110</v>
      </c>
      <c r="G538" s="1">
        <v>330.21471000000003</v>
      </c>
      <c r="H538" s="2">
        <v>1297294032.2349801</v>
      </c>
      <c r="I538" s="1" t="s">
        <v>23</v>
      </c>
      <c r="J538" s="1">
        <v>330.41804000000002</v>
      </c>
      <c r="K538" s="1">
        <v>331.22199000000001</v>
      </c>
      <c r="L538" s="7">
        <f>G538-J538</f>
        <v>-0.20332999999999402</v>
      </c>
      <c r="M538" s="1" t="s">
        <v>78</v>
      </c>
      <c r="N538" s="2">
        <v>28474733.550299801</v>
      </c>
      <c r="O538" s="1">
        <v>1297294032.2349801</v>
      </c>
      <c r="P538" s="1">
        <v>1258245433.68256</v>
      </c>
      <c r="Q538" s="1">
        <f>STDEV(N538:P538)</f>
        <v>721545006.7583425</v>
      </c>
      <c r="R538" s="1">
        <v>861338066.4892801</v>
      </c>
      <c r="S538" s="1">
        <v>1.0562742003431456</v>
      </c>
    </row>
    <row r="539" spans="1:19" x14ac:dyDescent="0.3">
      <c r="A539" s="1">
        <v>39</v>
      </c>
      <c r="B539" s="1" t="s">
        <v>4353</v>
      </c>
      <c r="C539" s="1" t="s">
        <v>4354</v>
      </c>
      <c r="D539" s="1">
        <v>9.1449999999999996</v>
      </c>
      <c r="E539" s="1" t="s">
        <v>4355</v>
      </c>
      <c r="F539" s="1" t="s">
        <v>4356</v>
      </c>
      <c r="G539" s="1">
        <v>348.19170000000003</v>
      </c>
      <c r="H539" s="2">
        <v>18142829.748229999</v>
      </c>
      <c r="I539" s="1" t="s">
        <v>17</v>
      </c>
      <c r="J539" s="1">
        <v>348.39510000000001</v>
      </c>
      <c r="K539" s="1">
        <v>347.18443000000002</v>
      </c>
      <c r="L539" s="7">
        <f>G539-J539</f>
        <v>-0.20339999999998781</v>
      </c>
      <c r="M539" s="1" t="s">
        <v>4357</v>
      </c>
      <c r="N539" s="2">
        <v>488456.80152075301</v>
      </c>
      <c r="O539" s="1">
        <v>172567.72719736301</v>
      </c>
      <c r="P539" s="1">
        <v>172315.39694222799</v>
      </c>
      <c r="Q539" s="1">
        <f>STDEV(N539:P539)</f>
        <v>182451.52718659671</v>
      </c>
      <c r="R539" s="1">
        <v>277779.97522011463</v>
      </c>
      <c r="S539" s="1">
        <v>3.4064652731868671E-4</v>
      </c>
    </row>
    <row r="540" spans="1:19" x14ac:dyDescent="0.3">
      <c r="A540" s="1">
        <v>69</v>
      </c>
      <c r="B540" s="1" t="s">
        <v>1772</v>
      </c>
      <c r="C540" s="1" t="s">
        <v>1773</v>
      </c>
      <c r="D540" s="1">
        <v>11.125999999999999</v>
      </c>
      <c r="E540" s="1" t="s">
        <v>1774</v>
      </c>
      <c r="F540" s="1" t="s">
        <v>1775</v>
      </c>
      <c r="G540" s="1">
        <v>428.27393000000001</v>
      </c>
      <c r="H540" s="2">
        <v>46525763.417922497</v>
      </c>
      <c r="I540" s="1" t="s">
        <v>150</v>
      </c>
      <c r="J540" s="1">
        <v>428.47822000000002</v>
      </c>
      <c r="K540" s="1">
        <v>451.26298000000003</v>
      </c>
      <c r="L540" s="7">
        <f>G540-J540</f>
        <v>-0.20429000000001452</v>
      </c>
      <c r="M540" s="1" t="s">
        <v>1776</v>
      </c>
      <c r="N540" s="2">
        <v>20998487.582088701</v>
      </c>
      <c r="O540" s="1">
        <v>6063510.18599049</v>
      </c>
      <c r="P540" s="1">
        <v>2632561.4669668102</v>
      </c>
      <c r="Q540" s="1">
        <f>STDEV(N540:P540)</f>
        <v>9765007.2623343095</v>
      </c>
      <c r="R540" s="1">
        <v>9898186.4116820004</v>
      </c>
      <c r="S540" s="1">
        <v>1.2138322156666131E-2</v>
      </c>
    </row>
    <row r="541" spans="1:19" x14ac:dyDescent="0.3">
      <c r="A541" s="1">
        <v>983</v>
      </c>
      <c r="B541" s="1" t="s">
        <v>3184</v>
      </c>
      <c r="C541" s="1" t="s">
        <v>3185</v>
      </c>
      <c r="D541" s="1">
        <v>7.2530000000000001</v>
      </c>
      <c r="E541" s="1" t="s">
        <v>3186</v>
      </c>
      <c r="F541" s="1" t="s">
        <v>3187</v>
      </c>
      <c r="G541" s="1">
        <v>346.21190000000001</v>
      </c>
      <c r="H541" s="2">
        <v>34603941.664254799</v>
      </c>
      <c r="I541" s="1" t="s">
        <v>23</v>
      </c>
      <c r="J541" s="1">
        <v>346.41744</v>
      </c>
      <c r="K541" s="1">
        <v>347.21917999999999</v>
      </c>
      <c r="L541" s="7">
        <f>G541-J541</f>
        <v>-0.20553999999998496</v>
      </c>
      <c r="M541" s="1" t="s">
        <v>3188</v>
      </c>
      <c r="N541" s="2">
        <v>1187728.9319756399</v>
      </c>
      <c r="O541" s="1">
        <v>1703188.85895929</v>
      </c>
      <c r="P541" s="1">
        <v>1820635.08256281</v>
      </c>
      <c r="Q541" s="1">
        <f>STDEV(N541:P541)</f>
        <v>336665.69650416169</v>
      </c>
      <c r="R541" s="1">
        <v>1570517.6244992465</v>
      </c>
      <c r="S541" s="1">
        <v>1.9259537137424358E-3</v>
      </c>
    </row>
    <row r="542" spans="1:19" x14ac:dyDescent="0.3">
      <c r="A542" s="1">
        <v>995</v>
      </c>
      <c r="B542" s="1" t="s">
        <v>1425</v>
      </c>
      <c r="C542" s="1" t="s">
        <v>1426</v>
      </c>
      <c r="D542" s="1">
        <v>8.766</v>
      </c>
      <c r="E542" s="1" t="s">
        <v>1427</v>
      </c>
      <c r="F542" s="1" t="s">
        <v>1428</v>
      </c>
      <c r="G542" s="1">
        <v>364.18401</v>
      </c>
      <c r="H542" s="2">
        <v>120698635.80718701</v>
      </c>
      <c r="I542" s="1" t="s">
        <v>23</v>
      </c>
      <c r="J542" s="1">
        <v>364.38965999999999</v>
      </c>
      <c r="K542" s="1">
        <v>365.19128000000001</v>
      </c>
      <c r="L542" s="7">
        <f>G542-J542</f>
        <v>-0.20564999999999145</v>
      </c>
      <c r="M542" s="1" t="s">
        <v>1429</v>
      </c>
      <c r="N542" s="2">
        <v>17283245.753128499</v>
      </c>
      <c r="O542" s="1">
        <v>26378723.7425007</v>
      </c>
      <c r="P542" s="1">
        <v>10284847.153688701</v>
      </c>
      <c r="Q542" s="1">
        <f>STDEV(N542:P542)</f>
        <v>8069677.4663727731</v>
      </c>
      <c r="R542" s="1">
        <v>17982272.216439299</v>
      </c>
      <c r="S542" s="1">
        <v>2.2051980453146013E-2</v>
      </c>
    </row>
    <row r="543" spans="1:19" x14ac:dyDescent="0.3">
      <c r="A543" s="1">
        <v>970</v>
      </c>
      <c r="B543" s="1" t="s">
        <v>3663</v>
      </c>
      <c r="C543" s="1" t="s">
        <v>3664</v>
      </c>
      <c r="D543" s="1">
        <v>17.210999999999999</v>
      </c>
      <c r="E543" s="1" t="s">
        <v>3665</v>
      </c>
      <c r="F543" s="1" t="s">
        <v>3666</v>
      </c>
      <c r="G543" s="1">
        <v>348.22753</v>
      </c>
      <c r="H543" s="2">
        <v>1126819.34394376</v>
      </c>
      <c r="I543" s="1" t="s">
        <v>23</v>
      </c>
      <c r="J543" s="1">
        <v>348.43331999999998</v>
      </c>
      <c r="K543" s="1">
        <v>349.23480999999998</v>
      </c>
      <c r="L543" s="7">
        <f>G543-J543</f>
        <v>-0.20578999999997905</v>
      </c>
      <c r="M543" s="1" t="s">
        <v>24</v>
      </c>
      <c r="N543" s="2">
        <v>1126819.34394376</v>
      </c>
      <c r="O543" s="1">
        <v>586818.05750653404</v>
      </c>
      <c r="P543" s="1">
        <v>918706.97856363899</v>
      </c>
      <c r="Q543" s="1">
        <f>STDEV(N543:P543)</f>
        <v>272354.67130759772</v>
      </c>
      <c r="R543" s="1">
        <v>877448.12667131098</v>
      </c>
      <c r="S543" s="1">
        <v>1.0760302538583612E-3</v>
      </c>
    </row>
    <row r="544" spans="1:19" x14ac:dyDescent="0.3">
      <c r="A544" s="1">
        <v>727</v>
      </c>
      <c r="B544" s="1" t="s">
        <v>3262</v>
      </c>
      <c r="C544" s="1" t="s">
        <v>3263</v>
      </c>
      <c r="D544" s="1">
        <v>22.678999999999998</v>
      </c>
      <c r="E544" s="1" t="s">
        <v>3264</v>
      </c>
      <c r="F544" s="1" t="s">
        <v>3265</v>
      </c>
      <c r="G544" s="1">
        <v>348.22746000000001</v>
      </c>
      <c r="H544" s="2">
        <v>2057884.9394568901</v>
      </c>
      <c r="I544" s="1" t="s">
        <v>23</v>
      </c>
      <c r="J544" s="1">
        <v>348.43331999999998</v>
      </c>
      <c r="K544" s="1">
        <v>349.23473999999999</v>
      </c>
      <c r="L544" s="7">
        <f>G544-J544</f>
        <v>-0.20585999999997284</v>
      </c>
      <c r="M544" s="1" t="s">
        <v>24</v>
      </c>
      <c r="N544" s="2">
        <v>343479.66093538498</v>
      </c>
      <c r="O544" s="1">
        <v>2057884.9394568901</v>
      </c>
      <c r="P544" s="1">
        <v>1912697.98394997</v>
      </c>
      <c r="Q544" s="1">
        <f>STDEV(N544:P544)</f>
        <v>950676.15028782468</v>
      </c>
      <c r="R544" s="1">
        <v>1438020.8614474151</v>
      </c>
      <c r="S544" s="1">
        <v>1.7634705751403521E-3</v>
      </c>
    </row>
    <row r="545" spans="1:19" x14ac:dyDescent="0.3">
      <c r="A545" s="1">
        <v>192</v>
      </c>
      <c r="B545" s="1" t="s">
        <v>701</v>
      </c>
      <c r="C545" s="1" t="s">
        <v>702</v>
      </c>
      <c r="D545" s="1">
        <v>7.3650000000000002</v>
      </c>
      <c r="E545" s="1" t="s">
        <v>703</v>
      </c>
      <c r="F545" s="1" t="s">
        <v>704</v>
      </c>
      <c r="G545" s="1">
        <v>349.17684000000003</v>
      </c>
      <c r="H545" s="2">
        <v>77233995.112179294</v>
      </c>
      <c r="I545" s="1" t="s">
        <v>23</v>
      </c>
      <c r="J545" s="1">
        <v>349.38315999999998</v>
      </c>
      <c r="K545" s="1">
        <v>350.18410999999998</v>
      </c>
      <c r="L545" s="7">
        <f>G545-J545</f>
        <v>-0.20631999999994832</v>
      </c>
      <c r="M545" s="1" t="s">
        <v>705</v>
      </c>
      <c r="N545" s="2">
        <v>77233995.112179294</v>
      </c>
      <c r="O545" s="1">
        <v>68428341.7325207</v>
      </c>
      <c r="P545" s="1">
        <v>53644607.788576297</v>
      </c>
      <c r="Q545" s="1">
        <f>STDEV(N545:P545)</f>
        <v>11920273.452337325</v>
      </c>
      <c r="R545" s="1">
        <v>66435648.211092092</v>
      </c>
      <c r="S545" s="1">
        <v>8.1471217769896603E-2</v>
      </c>
    </row>
    <row r="546" spans="1:19" x14ac:dyDescent="0.3">
      <c r="A546" s="1">
        <v>416</v>
      </c>
      <c r="B546" s="1" t="s">
        <v>4476</v>
      </c>
      <c r="C546" s="1" t="s">
        <v>4477</v>
      </c>
      <c r="D546" s="1">
        <v>18.077000000000002</v>
      </c>
      <c r="E546" s="1" t="s">
        <v>4478</v>
      </c>
      <c r="F546" s="1" t="s">
        <v>4479</v>
      </c>
      <c r="G546" s="1">
        <v>141.00398000000001</v>
      </c>
      <c r="H546" s="2">
        <v>526865.969691923</v>
      </c>
      <c r="I546" s="1" t="s">
        <v>17</v>
      </c>
      <c r="J546" s="1">
        <v>141.21080000000001</v>
      </c>
      <c r="K546" s="1">
        <v>139.99671000000001</v>
      </c>
      <c r="L546" s="7">
        <f>G546-J546</f>
        <v>-0.20681999999999334</v>
      </c>
      <c r="M546" s="1" t="s">
        <v>24</v>
      </c>
      <c r="N546" s="2">
        <v>143032.861955097</v>
      </c>
      <c r="O546" s="1">
        <v>270497.670603409</v>
      </c>
      <c r="P546" s="1">
        <v>174757.02303835301</v>
      </c>
      <c r="Q546" s="1">
        <f>STDEV(N546:P546)</f>
        <v>66357.581124745964</v>
      </c>
      <c r="R546" s="1">
        <v>196095.85186561965</v>
      </c>
      <c r="S546" s="1">
        <v>2.404758331002467E-4</v>
      </c>
    </row>
    <row r="547" spans="1:19" x14ac:dyDescent="0.3">
      <c r="A547" s="1">
        <v>34</v>
      </c>
      <c r="B547" s="1" t="s">
        <v>638</v>
      </c>
      <c r="C547" s="1" t="s">
        <v>639</v>
      </c>
      <c r="D547" s="1">
        <v>9.3480000000000008</v>
      </c>
      <c r="E547" s="1" t="s">
        <v>640</v>
      </c>
      <c r="F547" s="1" t="s">
        <v>641</v>
      </c>
      <c r="G547" s="1">
        <v>352.21989000000002</v>
      </c>
      <c r="H547" s="2">
        <v>549156222.27375996</v>
      </c>
      <c r="I547" s="1" t="s">
        <v>23</v>
      </c>
      <c r="J547" s="1">
        <v>352.42685999999998</v>
      </c>
      <c r="K547" s="1">
        <v>353.22716000000003</v>
      </c>
      <c r="L547" s="7">
        <f>G547-J547</f>
        <v>-0.20696999999995569</v>
      </c>
      <c r="M547" s="1" t="s">
        <v>642</v>
      </c>
      <c r="N547" s="2">
        <v>167975967.957638</v>
      </c>
      <c r="O547" s="1">
        <v>44449955.3091795</v>
      </c>
      <c r="P547" s="1">
        <v>24647583.336746901</v>
      </c>
      <c r="Q547" s="1">
        <f>STDEV(N547:P547)</f>
        <v>77667920.849597245</v>
      </c>
      <c r="R547" s="1">
        <v>79024502.201188132</v>
      </c>
      <c r="S547" s="1">
        <v>9.6909153464325604E-2</v>
      </c>
    </row>
    <row r="548" spans="1:19" x14ac:dyDescent="0.3">
      <c r="A548" s="1">
        <v>293</v>
      </c>
      <c r="B548" s="1" t="s">
        <v>40</v>
      </c>
      <c r="C548" s="1" t="s">
        <v>41</v>
      </c>
      <c r="D548" s="1">
        <v>10.569000000000001</v>
      </c>
      <c r="E548" s="1" t="s">
        <v>42</v>
      </c>
      <c r="F548" s="1" t="s">
        <v>43</v>
      </c>
      <c r="G548" s="1">
        <v>274.19393000000002</v>
      </c>
      <c r="H548" s="2">
        <v>24366791490.443298</v>
      </c>
      <c r="I548" s="1" t="s">
        <v>23</v>
      </c>
      <c r="J548" s="1">
        <v>274.40114</v>
      </c>
      <c r="K548" s="1">
        <v>590.42169000000001</v>
      </c>
      <c r="L548" s="7">
        <f>G548-J548</f>
        <v>-0.20720999999997503</v>
      </c>
      <c r="M548" s="1" t="s">
        <v>44</v>
      </c>
      <c r="N548" s="2">
        <v>1574512769.0074401</v>
      </c>
      <c r="O548" s="1">
        <v>402344575.45841002</v>
      </c>
      <c r="P548" s="1">
        <v>5232519321.0494299</v>
      </c>
      <c r="Q548" s="1">
        <f>STDEV(N548:P548)</f>
        <v>2519443664.836062</v>
      </c>
      <c r="R548" s="1">
        <v>2403125555.1717601</v>
      </c>
      <c r="S548" s="1">
        <v>2.9469956372174573</v>
      </c>
    </row>
    <row r="549" spans="1:19" x14ac:dyDescent="0.3">
      <c r="A549" s="1">
        <v>271</v>
      </c>
      <c r="B549" s="1" t="s">
        <v>4105</v>
      </c>
      <c r="C549" s="1" t="s">
        <v>4106</v>
      </c>
      <c r="D549" s="1">
        <v>5.8579999999999997</v>
      </c>
      <c r="E549" s="1" t="s">
        <v>4107</v>
      </c>
      <c r="F549" s="1" t="s">
        <v>4108</v>
      </c>
      <c r="G549" s="1">
        <v>275.13515000000001</v>
      </c>
      <c r="H549" s="2">
        <v>3295544.1936117401</v>
      </c>
      <c r="I549" s="1" t="s">
        <v>23</v>
      </c>
      <c r="J549" s="1">
        <v>275.34284000000002</v>
      </c>
      <c r="K549" s="1">
        <v>276.14242999999999</v>
      </c>
      <c r="L549" s="7">
        <f>G549-J549</f>
        <v>-0.2076900000000137</v>
      </c>
      <c r="M549" s="1" t="s">
        <v>339</v>
      </c>
      <c r="N549" s="2">
        <v>478231.23622139002</v>
      </c>
      <c r="O549" s="1">
        <v>377047.66563027102</v>
      </c>
      <c r="P549" s="1">
        <v>664674.05263785797</v>
      </c>
      <c r="Q549" s="1">
        <f>STDEV(N549:P549)</f>
        <v>145904.06508725256</v>
      </c>
      <c r="R549" s="1">
        <v>506650.98482983961</v>
      </c>
      <c r="S549" s="1">
        <v>6.2131511966662448E-4</v>
      </c>
    </row>
    <row r="550" spans="1:19" x14ac:dyDescent="0.3">
      <c r="A550" s="1">
        <v>270</v>
      </c>
      <c r="B550" s="1" t="s">
        <v>424</v>
      </c>
      <c r="C550" s="1" t="s">
        <v>425</v>
      </c>
      <c r="D550" s="1">
        <v>1.8660000000000001</v>
      </c>
      <c r="E550" s="1" t="s">
        <v>426</v>
      </c>
      <c r="F550" s="1" t="s">
        <v>427</v>
      </c>
      <c r="G550" s="1">
        <v>275.13490000000002</v>
      </c>
      <c r="H550" s="2">
        <v>135912610.54795399</v>
      </c>
      <c r="I550" s="1" t="s">
        <v>23</v>
      </c>
      <c r="J550" s="1">
        <v>275.34284000000002</v>
      </c>
      <c r="K550" s="1">
        <v>276.14218</v>
      </c>
      <c r="L550" s="7">
        <f>G550-J550</f>
        <v>-0.20794000000000779</v>
      </c>
      <c r="M550" s="1" t="s">
        <v>339</v>
      </c>
      <c r="N550" s="2">
        <v>115124695.06741001</v>
      </c>
      <c r="O550" s="1">
        <v>131050726.293201</v>
      </c>
      <c r="P550" s="1">
        <v>118838914.60923401</v>
      </c>
      <c r="Q550" s="1">
        <f>STDEV(N550:P550)</f>
        <v>8332289.0213755164</v>
      </c>
      <c r="R550" s="1">
        <v>121671445.32328169</v>
      </c>
      <c r="S550" s="1">
        <v>0.14920785881119955</v>
      </c>
    </row>
    <row r="551" spans="1:19" x14ac:dyDescent="0.3">
      <c r="A551" s="1">
        <v>429</v>
      </c>
      <c r="B551" s="1" t="s">
        <v>1059</v>
      </c>
      <c r="C551" s="1" t="s">
        <v>1060</v>
      </c>
      <c r="D551" s="1">
        <v>0.98599999999999999</v>
      </c>
      <c r="E551" s="1" t="s">
        <v>1061</v>
      </c>
      <c r="F551" s="1" t="s">
        <v>1062</v>
      </c>
      <c r="G551" s="1">
        <v>325.15035</v>
      </c>
      <c r="H551" s="2">
        <v>39388019.893423401</v>
      </c>
      <c r="I551" s="1" t="s">
        <v>23</v>
      </c>
      <c r="J551" s="1">
        <v>325.35845999999998</v>
      </c>
      <c r="K551" s="1">
        <v>326.15762000000001</v>
      </c>
      <c r="L551" s="7">
        <f>G551-J551</f>
        <v>-0.20810999999997648</v>
      </c>
      <c r="M551" s="1" t="s">
        <v>1063</v>
      </c>
      <c r="N551" s="2">
        <v>35871227.533607401</v>
      </c>
      <c r="O551" s="1">
        <v>39388019.893423401</v>
      </c>
      <c r="P551" s="1">
        <v>37816246.801242799</v>
      </c>
      <c r="Q551" s="1">
        <f>STDEV(N551:P551)</f>
        <v>1761694.2180202606</v>
      </c>
      <c r="R551" s="1">
        <v>37691831.409424536</v>
      </c>
      <c r="S551" s="1">
        <v>4.6222163666505098E-2</v>
      </c>
    </row>
    <row r="552" spans="1:19" x14ac:dyDescent="0.3">
      <c r="A552" s="1">
        <v>506</v>
      </c>
      <c r="B552" s="1" t="s">
        <v>653</v>
      </c>
      <c r="C552" s="1" t="s">
        <v>654</v>
      </c>
      <c r="D552" s="1">
        <v>13.275</v>
      </c>
      <c r="E552" s="1" t="s">
        <v>655</v>
      </c>
      <c r="F552" s="1" t="s">
        <v>656</v>
      </c>
      <c r="G552" s="1">
        <v>428.26648999999998</v>
      </c>
      <c r="H552" s="2">
        <v>246049957.88902</v>
      </c>
      <c r="I552" s="1" t="s">
        <v>17</v>
      </c>
      <c r="J552" s="1">
        <v>428.47492</v>
      </c>
      <c r="K552" s="1">
        <v>427.25922000000003</v>
      </c>
      <c r="L552" s="7">
        <f>G552-J552</f>
        <v>-0.20843000000002121</v>
      </c>
      <c r="M552" s="1" t="s">
        <v>657</v>
      </c>
      <c r="N552" s="2">
        <v>93170472.350057796</v>
      </c>
      <c r="O552" s="1">
        <v>82760155.614282101</v>
      </c>
      <c r="P552" s="1">
        <v>47444950.552076802</v>
      </c>
      <c r="Q552" s="1">
        <f>STDEV(N552:P552)</f>
        <v>23966510.477547601</v>
      </c>
      <c r="R552" s="1">
        <v>74458526.172138914</v>
      </c>
      <c r="S552" s="1">
        <v>9.1309815798305993E-2</v>
      </c>
    </row>
    <row r="553" spans="1:19" x14ac:dyDescent="0.3">
      <c r="A553" s="1">
        <v>111</v>
      </c>
      <c r="B553" s="1" t="s">
        <v>1883</v>
      </c>
      <c r="C553" s="1" t="s">
        <v>1884</v>
      </c>
      <c r="D553" s="1">
        <v>10.859</v>
      </c>
      <c r="E553" s="1" t="s">
        <v>1885</v>
      </c>
      <c r="F553" s="1" t="s">
        <v>1886</v>
      </c>
      <c r="G553" s="1">
        <v>331.24198999999999</v>
      </c>
      <c r="H553" s="2">
        <v>193485884.298783</v>
      </c>
      <c r="I553" s="1" t="s">
        <v>17</v>
      </c>
      <c r="J553" s="1">
        <v>331.45069999999998</v>
      </c>
      <c r="K553" s="1">
        <v>330.23471000000001</v>
      </c>
      <c r="L553" s="7">
        <f>G553-J553</f>
        <v>-0.2087099999999964</v>
      </c>
      <c r="M553" s="1" t="s">
        <v>1887</v>
      </c>
      <c r="N553" s="2">
        <v>11797872.8184614</v>
      </c>
      <c r="O553" s="1">
        <v>8656369.2400843203</v>
      </c>
      <c r="P553" s="1">
        <v>5254030.6416119896</v>
      </c>
      <c r="Q553" s="1">
        <f>STDEV(N553:P553)</f>
        <v>3272787.3723357953</v>
      </c>
      <c r="R553" s="1">
        <v>8569424.2333859038</v>
      </c>
      <c r="S553" s="1">
        <v>1.0508837449173069E-2</v>
      </c>
    </row>
    <row r="554" spans="1:19" x14ac:dyDescent="0.3">
      <c r="A554" s="1">
        <v>6</v>
      </c>
      <c r="B554" s="1" t="s">
        <v>691</v>
      </c>
      <c r="C554" s="1" t="s">
        <v>692</v>
      </c>
      <c r="D554" s="1">
        <v>12.122</v>
      </c>
      <c r="E554" s="1" t="s">
        <v>693</v>
      </c>
      <c r="F554" s="1" t="s">
        <v>694</v>
      </c>
      <c r="G554" s="1">
        <v>902.55150000000003</v>
      </c>
      <c r="H554" s="2">
        <v>99458400.428301007</v>
      </c>
      <c r="I554" s="1" t="s">
        <v>290</v>
      </c>
      <c r="J554" s="1">
        <v>902.76167999999996</v>
      </c>
      <c r="K554" s="1">
        <v>452.28303</v>
      </c>
      <c r="L554" s="7">
        <f>G554-J554</f>
        <v>-0.21017999999992298</v>
      </c>
      <c r="M554" s="1" t="s">
        <v>695</v>
      </c>
      <c r="N554" s="2">
        <v>98060016.882652596</v>
      </c>
      <c r="O554" s="1">
        <v>73594859.178792894</v>
      </c>
      <c r="P554" s="1">
        <v>31961679.241885301</v>
      </c>
      <c r="Q554" s="1">
        <f>STDEV(N554:P554)</f>
        <v>33418696.992368732</v>
      </c>
      <c r="R554" s="1">
        <v>67872185.101110265</v>
      </c>
      <c r="S554" s="1">
        <v>8.3232868524462739E-2</v>
      </c>
    </row>
    <row r="555" spans="1:19" x14ac:dyDescent="0.3">
      <c r="A555" s="1">
        <v>588</v>
      </c>
      <c r="B555" s="1" t="s">
        <v>369</v>
      </c>
      <c r="C555" s="1" t="s">
        <v>370</v>
      </c>
      <c r="D555" s="1">
        <v>1.403</v>
      </c>
      <c r="E555" s="1" t="s">
        <v>371</v>
      </c>
      <c r="F555" s="1" t="s">
        <v>372</v>
      </c>
      <c r="G555" s="1">
        <v>272.08521000000002</v>
      </c>
      <c r="H555" s="2">
        <v>262283196.20687801</v>
      </c>
      <c r="I555" s="1" t="s">
        <v>23</v>
      </c>
      <c r="J555" s="1">
        <v>272.29584</v>
      </c>
      <c r="K555" s="1">
        <v>273.09249</v>
      </c>
      <c r="L555" s="7">
        <f>G555-J555</f>
        <v>-0.21062999999998056</v>
      </c>
      <c r="M555" s="1" t="s">
        <v>373</v>
      </c>
      <c r="N555" s="2">
        <v>36360583.196476303</v>
      </c>
      <c r="O555" s="1">
        <v>262283196.20687801</v>
      </c>
      <c r="P555" s="1">
        <v>141996247.435862</v>
      </c>
      <c r="Q555" s="1">
        <f>STDEV(N555:P555)</f>
        <v>113040457.8557201</v>
      </c>
      <c r="R555" s="1">
        <v>146880008.94640544</v>
      </c>
      <c r="S555" s="1">
        <v>0.18012156902412876</v>
      </c>
    </row>
    <row r="556" spans="1:19" x14ac:dyDescent="0.3">
      <c r="A556" s="1">
        <v>452</v>
      </c>
      <c r="B556" s="1" t="s">
        <v>2280</v>
      </c>
      <c r="C556" s="1" t="s">
        <v>2281</v>
      </c>
      <c r="D556" s="1">
        <v>10.145</v>
      </c>
      <c r="E556" s="1" t="s">
        <v>2282</v>
      </c>
      <c r="F556" s="1" t="s">
        <v>2283</v>
      </c>
      <c r="G556" s="1">
        <v>312.19186999999999</v>
      </c>
      <c r="H556" s="2">
        <v>64377116.991943598</v>
      </c>
      <c r="I556" s="1" t="s">
        <v>17</v>
      </c>
      <c r="J556" s="1">
        <v>312.40276</v>
      </c>
      <c r="K556" s="1">
        <v>311.18459000000001</v>
      </c>
      <c r="L556" s="7">
        <f>G556-J556</f>
        <v>-0.21089000000000624</v>
      </c>
      <c r="M556" s="1" t="s">
        <v>2284</v>
      </c>
      <c r="N556" s="2">
        <v>7961618.1230567396</v>
      </c>
      <c r="O556" s="1">
        <v>4844118.6267034197</v>
      </c>
      <c r="P556" s="1">
        <v>2031383.1149904199</v>
      </c>
      <c r="Q556" s="1">
        <f>STDEV(N556:P556)</f>
        <v>2966422.4080955931</v>
      </c>
      <c r="R556" s="1">
        <v>4945706.621583526</v>
      </c>
      <c r="S556" s="1">
        <v>6.0650080497864018E-3</v>
      </c>
    </row>
    <row r="557" spans="1:19" x14ac:dyDescent="0.3">
      <c r="A557" s="1">
        <v>302</v>
      </c>
      <c r="B557" s="1" t="s">
        <v>3436</v>
      </c>
      <c r="C557" s="1" t="s">
        <v>3437</v>
      </c>
      <c r="D557" s="1">
        <v>16.581</v>
      </c>
      <c r="E557" s="1" t="s">
        <v>3438</v>
      </c>
      <c r="F557" s="1" t="s">
        <v>3439</v>
      </c>
      <c r="G557" s="1">
        <v>700.51907000000006</v>
      </c>
      <c r="H557" s="2">
        <v>11010822.201912301</v>
      </c>
      <c r="I557" s="1" t="s">
        <v>23</v>
      </c>
      <c r="J557" s="1">
        <v>700.73099999999999</v>
      </c>
      <c r="K557" s="1">
        <v>701.52634999999998</v>
      </c>
      <c r="L557" s="7">
        <f>G557-J557</f>
        <v>-0.21192999999993845</v>
      </c>
      <c r="M557" s="1" t="s">
        <v>3440</v>
      </c>
      <c r="N557" s="2">
        <v>944735.68622132705</v>
      </c>
      <c r="O557" s="1">
        <v>1291131.3589258599</v>
      </c>
      <c r="P557" s="1">
        <v>1116834.3459053901</v>
      </c>
      <c r="Q557" s="1">
        <f>STDEV(N557:P557)</f>
        <v>173198.99897773346</v>
      </c>
      <c r="R557" s="1">
        <v>1117567.1303508591</v>
      </c>
      <c r="S557" s="1">
        <v>1.3704924615169428E-3</v>
      </c>
    </row>
    <row r="558" spans="1:19" x14ac:dyDescent="0.3">
      <c r="A558" s="1">
        <v>591</v>
      </c>
      <c r="B558" s="1" t="s">
        <v>3942</v>
      </c>
      <c r="C558" s="1" t="s">
        <v>3943</v>
      </c>
      <c r="D558" s="1">
        <v>6.2350000000000003</v>
      </c>
      <c r="E558" s="1" t="s">
        <v>3944</v>
      </c>
      <c r="F558" s="1" t="s">
        <v>3945</v>
      </c>
      <c r="G558" s="1">
        <v>416.16572000000002</v>
      </c>
      <c r="H558" s="2">
        <v>19087272.139558099</v>
      </c>
      <c r="I558" s="1" t="s">
        <v>17</v>
      </c>
      <c r="J558" s="1">
        <v>416.37810000000002</v>
      </c>
      <c r="K558" s="1">
        <v>415.15845000000002</v>
      </c>
      <c r="L558" s="7">
        <f>G558-J558</f>
        <v>-0.21237999999999602</v>
      </c>
      <c r="M558" s="1" t="s">
        <v>24</v>
      </c>
      <c r="N558" s="2">
        <v>479399.88100789598</v>
      </c>
      <c r="O558" s="1">
        <v>477756.67585555202</v>
      </c>
      <c r="P558" s="1">
        <v>970633.969895866</v>
      </c>
      <c r="Q558" s="1">
        <f>STDEV(N558:P558)</f>
        <v>284089.6739849553</v>
      </c>
      <c r="R558" s="1">
        <v>642596.84225310467</v>
      </c>
      <c r="S558" s="1">
        <v>7.880279440806257E-4</v>
      </c>
    </row>
    <row r="559" spans="1:19" x14ac:dyDescent="0.3">
      <c r="A559" s="1">
        <v>330</v>
      </c>
      <c r="B559" s="1" t="s">
        <v>93</v>
      </c>
      <c r="C559" s="1" t="s">
        <v>94</v>
      </c>
      <c r="D559" s="1">
        <v>12.728</v>
      </c>
      <c r="E559" s="1" t="s">
        <v>95</v>
      </c>
      <c r="F559" s="1" t="s">
        <v>96</v>
      </c>
      <c r="G559" s="1">
        <v>282.16584999999998</v>
      </c>
      <c r="H559" s="2">
        <v>1142029173.45348</v>
      </c>
      <c r="I559" s="1" t="s">
        <v>23</v>
      </c>
      <c r="J559" s="1">
        <v>282.37853999999999</v>
      </c>
      <c r="K559" s="1">
        <v>283.17311999999998</v>
      </c>
      <c r="L559" s="7">
        <f>G559-J559</f>
        <v>-0.21269000000000915</v>
      </c>
      <c r="M559" s="1" t="s">
        <v>97</v>
      </c>
      <c r="N559" s="2">
        <v>917570152.96533704</v>
      </c>
      <c r="O559" s="1">
        <v>1142029173.45348</v>
      </c>
      <c r="P559" s="1">
        <v>828441063.85111403</v>
      </c>
      <c r="Q559" s="1">
        <f>STDEV(N559:P559)</f>
        <v>161587617.55820256</v>
      </c>
      <c r="R559" s="1">
        <v>962680130.08997691</v>
      </c>
      <c r="S559" s="1">
        <v>1.1805517765418314</v>
      </c>
    </row>
    <row r="560" spans="1:19" x14ac:dyDescent="0.3">
      <c r="A560" s="1">
        <v>461</v>
      </c>
      <c r="B560" s="1" t="s">
        <v>1869</v>
      </c>
      <c r="C560" s="1" t="s">
        <v>1870</v>
      </c>
      <c r="D560" s="1">
        <v>1.7130000000000001</v>
      </c>
      <c r="E560" s="1" t="s">
        <v>1871</v>
      </c>
      <c r="F560" s="1" t="s">
        <v>1872</v>
      </c>
      <c r="G560" s="1">
        <v>288.03856000000002</v>
      </c>
      <c r="H560" s="2">
        <v>16162199.455525</v>
      </c>
      <c r="I560" s="1" t="s">
        <v>17</v>
      </c>
      <c r="J560" s="1">
        <v>288.25218000000001</v>
      </c>
      <c r="K560" s="1">
        <v>287.03127999999998</v>
      </c>
      <c r="L560" s="7">
        <f>G560-J560</f>
        <v>-0.21361999999999171</v>
      </c>
      <c r="M560" s="1" t="s">
        <v>1873</v>
      </c>
      <c r="N560" s="2">
        <v>4617564.4281206802</v>
      </c>
      <c r="O560" s="1">
        <v>16162199.455525</v>
      </c>
      <c r="P560" s="1">
        <v>5147454.0261727702</v>
      </c>
      <c r="Q560" s="1">
        <f>STDEV(N560:P560)</f>
        <v>6517719.4091124954</v>
      </c>
      <c r="R560" s="1">
        <v>8642405.9699394833</v>
      </c>
      <c r="S560" s="1">
        <v>1.0598336251579412E-2</v>
      </c>
    </row>
    <row r="561" spans="1:19" x14ac:dyDescent="0.3">
      <c r="A561" s="1">
        <v>261</v>
      </c>
      <c r="B561" s="1" t="s">
        <v>2443</v>
      </c>
      <c r="C561" s="1" t="s">
        <v>2444</v>
      </c>
      <c r="D561" s="1">
        <v>10.188000000000001</v>
      </c>
      <c r="E561" s="1" t="s">
        <v>2445</v>
      </c>
      <c r="F561" s="1" t="s">
        <v>2446</v>
      </c>
      <c r="G561" s="1">
        <v>355.25691</v>
      </c>
      <c r="H561" s="2">
        <v>9297131.5054195896</v>
      </c>
      <c r="I561" s="1" t="s">
        <v>23</v>
      </c>
      <c r="J561" s="1">
        <v>355.47055999999998</v>
      </c>
      <c r="K561" s="1">
        <v>356.26418999999999</v>
      </c>
      <c r="L561" s="7">
        <f>G561-J561</f>
        <v>-0.21364999999997281</v>
      </c>
      <c r="M561" s="1" t="s">
        <v>24</v>
      </c>
      <c r="N561" s="2">
        <v>8646309.6047357805</v>
      </c>
      <c r="O561" s="1">
        <v>2359788.5535268201</v>
      </c>
      <c r="P561" s="1">
        <v>922729.14164460602</v>
      </c>
      <c r="Q561" s="1">
        <f>STDEV(N561:P561)</f>
        <v>4107699.7182205743</v>
      </c>
      <c r="R561" s="1">
        <v>3976275.766635736</v>
      </c>
      <c r="S561" s="1">
        <v>4.8761777392074216E-3</v>
      </c>
    </row>
    <row r="562" spans="1:19" x14ac:dyDescent="0.3">
      <c r="A562" s="1">
        <v>384</v>
      </c>
      <c r="B562" s="1" t="s">
        <v>4384</v>
      </c>
      <c r="C562" s="1" t="s">
        <v>4385</v>
      </c>
      <c r="D562" s="1">
        <v>7.44</v>
      </c>
      <c r="E562" s="1" t="s">
        <v>4386</v>
      </c>
      <c r="F562" s="1" t="s">
        <v>4387</v>
      </c>
      <c r="G562" s="1">
        <v>271.14040999999997</v>
      </c>
      <c r="H562" s="2">
        <v>3119299.8247443801</v>
      </c>
      <c r="I562" s="1" t="s">
        <v>17</v>
      </c>
      <c r="J562" s="1">
        <v>271.35413999999997</v>
      </c>
      <c r="K562" s="1">
        <v>270.13314000000003</v>
      </c>
      <c r="L562" s="7">
        <f>G562-J562</f>
        <v>-0.2137299999999982</v>
      </c>
      <c r="M562" s="1" t="s">
        <v>2224</v>
      </c>
      <c r="N562" s="2">
        <v>221688.55067410201</v>
      </c>
      <c r="O562" s="1">
        <v>259490.31356061401</v>
      </c>
      <c r="P562" s="1">
        <v>267204.87699605903</v>
      </c>
      <c r="Q562" s="1">
        <f>STDEV(N562:P562)</f>
        <v>24359.199932723775</v>
      </c>
      <c r="R562" s="1">
        <v>249461.24707692504</v>
      </c>
      <c r="S562" s="1">
        <v>3.0591876700257541E-4</v>
      </c>
    </row>
    <row r="563" spans="1:19" x14ac:dyDescent="0.3">
      <c r="A563" s="1">
        <v>646</v>
      </c>
      <c r="B563" s="1" t="s">
        <v>135</v>
      </c>
      <c r="C563" s="1" t="s">
        <v>136</v>
      </c>
      <c r="D563" s="1">
        <v>1.196</v>
      </c>
      <c r="E563" s="1" t="s">
        <v>137</v>
      </c>
      <c r="F563" s="1" t="s">
        <v>138</v>
      </c>
      <c r="G563" s="1">
        <v>314.07517000000001</v>
      </c>
      <c r="H563" s="2">
        <v>642116440.169644</v>
      </c>
      <c r="I563" s="1" t="s">
        <v>139</v>
      </c>
      <c r="J563" s="1">
        <v>314.28946000000002</v>
      </c>
      <c r="K563" s="1">
        <v>359.07335999999998</v>
      </c>
      <c r="L563" s="7">
        <f>G563-J563</f>
        <v>-0.21429000000000542</v>
      </c>
      <c r="M563" s="1" t="s">
        <v>140</v>
      </c>
      <c r="N563" s="2">
        <v>379632215.11892998</v>
      </c>
      <c r="O563" s="1">
        <v>642116440.169644</v>
      </c>
      <c r="P563" s="1">
        <v>561667633.11059797</v>
      </c>
      <c r="Q563" s="1">
        <f>STDEV(N563:P563)</f>
        <v>134478543.741557</v>
      </c>
      <c r="R563" s="1">
        <v>527805429.46639061</v>
      </c>
      <c r="S563" s="1">
        <v>0.64725719161434592</v>
      </c>
    </row>
    <row r="564" spans="1:19" x14ac:dyDescent="0.3">
      <c r="A564" s="1">
        <v>49</v>
      </c>
      <c r="B564" s="1" t="s">
        <v>759</v>
      </c>
      <c r="C564" s="1" t="s">
        <v>760</v>
      </c>
      <c r="D564" s="1">
        <v>12.891</v>
      </c>
      <c r="E564" s="1" t="s">
        <v>761</v>
      </c>
      <c r="F564" s="1" t="s">
        <v>762</v>
      </c>
      <c r="G564" s="1">
        <v>366.23853000000003</v>
      </c>
      <c r="H564" s="2">
        <v>183736132.51159701</v>
      </c>
      <c r="I564" s="1" t="s">
        <v>17</v>
      </c>
      <c r="J564" s="1">
        <v>366.45344</v>
      </c>
      <c r="K564" s="1">
        <v>365.23126000000002</v>
      </c>
      <c r="L564" s="7">
        <f>G564-J564</f>
        <v>-0.21490999999997484</v>
      </c>
      <c r="M564" s="1" t="s">
        <v>763</v>
      </c>
      <c r="N564" s="2">
        <v>66762621.085563697</v>
      </c>
      <c r="O564" s="1">
        <v>73117594.020103306</v>
      </c>
      <c r="P564" s="1">
        <v>39788038.4751513</v>
      </c>
      <c r="Q564" s="1">
        <f>STDEV(N564:P564)</f>
        <v>17695917.894761011</v>
      </c>
      <c r="R564" s="1">
        <v>59889417.860272765</v>
      </c>
      <c r="S564" s="1">
        <v>7.3443458986104632E-2</v>
      </c>
    </row>
    <row r="565" spans="1:19" x14ac:dyDescent="0.3">
      <c r="A565" s="1">
        <v>91</v>
      </c>
      <c r="B565" s="1" t="s">
        <v>1453</v>
      </c>
      <c r="C565" s="1" t="s">
        <v>1454</v>
      </c>
      <c r="D565" s="1">
        <v>1.532</v>
      </c>
      <c r="E565" s="1" t="s">
        <v>1455</v>
      </c>
      <c r="F565" s="1" t="s">
        <v>1456</v>
      </c>
      <c r="G565" s="1">
        <v>291.12963000000002</v>
      </c>
      <c r="H565" s="2">
        <v>20384034.355187599</v>
      </c>
      <c r="I565" s="1" t="s">
        <v>23</v>
      </c>
      <c r="J565" s="1">
        <v>291.34554000000003</v>
      </c>
      <c r="K565" s="1">
        <v>292.13684000000001</v>
      </c>
      <c r="L565" s="7">
        <f>G565-J565</f>
        <v>-0.21591000000000804</v>
      </c>
      <c r="M565" s="1" t="s">
        <v>1457</v>
      </c>
      <c r="N565" s="2">
        <v>20384034.355187599</v>
      </c>
      <c r="O565" s="1">
        <v>16599956.595163699</v>
      </c>
      <c r="P565" s="1">
        <v>12350839.857878201</v>
      </c>
      <c r="Q565" s="1">
        <f>STDEV(N565:P565)</f>
        <v>4018840.0352296853</v>
      </c>
      <c r="R565" s="1">
        <v>16444943.602743166</v>
      </c>
      <c r="S565" s="1">
        <v>2.0166727014022955E-2</v>
      </c>
    </row>
    <row r="566" spans="1:19" x14ac:dyDescent="0.3">
      <c r="A566" s="1">
        <v>56</v>
      </c>
      <c r="B566" s="1" t="s">
        <v>3885</v>
      </c>
      <c r="C566" s="1" t="s">
        <v>3886</v>
      </c>
      <c r="D566" s="1">
        <v>20.457999999999998</v>
      </c>
      <c r="E566" s="1" t="s">
        <v>3887</v>
      </c>
      <c r="F566" s="1" t="s">
        <v>3888</v>
      </c>
      <c r="G566" s="1">
        <v>308.20067999999998</v>
      </c>
      <c r="H566" s="2">
        <v>82152279.025908098</v>
      </c>
      <c r="I566" s="1" t="s">
        <v>17</v>
      </c>
      <c r="J566" s="1">
        <v>308.41735999999997</v>
      </c>
      <c r="K566" s="1">
        <v>307.1934</v>
      </c>
      <c r="L566" s="7">
        <f>G566-J566</f>
        <v>-0.21667999999999665</v>
      </c>
      <c r="M566" s="1" t="s">
        <v>24</v>
      </c>
      <c r="N566" s="2">
        <v>261002.460266893</v>
      </c>
      <c r="O566" s="1">
        <v>1623208.5642927301</v>
      </c>
      <c r="P566" s="1">
        <v>186493.720049928</v>
      </c>
      <c r="Q566" s="1">
        <f>STDEV(N566:P566)</f>
        <v>808837.28955845302</v>
      </c>
      <c r="R566" s="1">
        <v>690234.91486985039</v>
      </c>
      <c r="S566" s="1">
        <v>8.464473603549301E-4</v>
      </c>
    </row>
    <row r="567" spans="1:19" x14ac:dyDescent="0.3">
      <c r="A567" s="1">
        <v>979</v>
      </c>
      <c r="B567" s="1" t="s">
        <v>3159</v>
      </c>
      <c r="C567" s="1" t="s">
        <v>3160</v>
      </c>
      <c r="D567" s="1">
        <v>21.577999999999999</v>
      </c>
      <c r="E567" s="1" t="s">
        <v>3161</v>
      </c>
      <c r="F567" s="1" t="s">
        <v>3162</v>
      </c>
      <c r="G567" s="1">
        <v>346.15762999999998</v>
      </c>
      <c r="H567" s="2">
        <v>3182128.1019695201</v>
      </c>
      <c r="I567" s="1" t="s">
        <v>23</v>
      </c>
      <c r="J567" s="1">
        <v>346.37437999999997</v>
      </c>
      <c r="K567" s="1">
        <v>347.16491000000002</v>
      </c>
      <c r="L567" s="7">
        <f>G567-J567</f>
        <v>-0.21674999999999045</v>
      </c>
      <c r="M567" s="1" t="s">
        <v>1608</v>
      </c>
      <c r="N567" s="2">
        <v>619332.27585051896</v>
      </c>
      <c r="O567" s="1">
        <v>1079245.72338372</v>
      </c>
      <c r="P567" s="1">
        <v>3182128.1019695201</v>
      </c>
      <c r="Q567" s="1">
        <f>STDEV(N567:P567)</f>
        <v>1366355.0736516428</v>
      </c>
      <c r="R567" s="1">
        <v>1626902.0337345863</v>
      </c>
      <c r="S567" s="1">
        <v>1.9950989182724397E-3</v>
      </c>
    </row>
    <row r="568" spans="1:19" x14ac:dyDescent="0.3">
      <c r="A568" s="1">
        <v>542</v>
      </c>
      <c r="B568" s="1" t="s">
        <v>2854</v>
      </c>
      <c r="C568" s="1" t="s">
        <v>2855</v>
      </c>
      <c r="D568" s="1">
        <v>0.54800000000000004</v>
      </c>
      <c r="E568" s="1" t="s">
        <v>2856</v>
      </c>
      <c r="F568" s="1" t="s">
        <v>2857</v>
      </c>
      <c r="G568" s="1">
        <v>303.02656999999999</v>
      </c>
      <c r="H568" s="2">
        <v>3115581.5463629598</v>
      </c>
      <c r="I568" s="1" t="s">
        <v>150</v>
      </c>
      <c r="J568" s="1">
        <v>303.24364000000003</v>
      </c>
      <c r="K568" s="1">
        <v>326.01580999999999</v>
      </c>
      <c r="L568" s="7">
        <f>G568-J568</f>
        <v>-0.21707000000003518</v>
      </c>
      <c r="M568" s="1" t="s">
        <v>2858</v>
      </c>
      <c r="N568" s="2">
        <v>3115581.5463629598</v>
      </c>
      <c r="O568" s="1">
        <v>1682627.4229339201</v>
      </c>
      <c r="P568" s="1">
        <v>2111420.9653400802</v>
      </c>
      <c r="Q568" s="1">
        <f>STDEV(N568:P568)</f>
        <v>735477.15739984345</v>
      </c>
      <c r="R568" s="1">
        <v>2303209.9782123198</v>
      </c>
      <c r="S568" s="1">
        <v>2.8244673869744145E-3</v>
      </c>
    </row>
    <row r="569" spans="1:19" x14ac:dyDescent="0.3">
      <c r="A569" s="1">
        <v>388</v>
      </c>
      <c r="B569" s="1" t="s">
        <v>4498</v>
      </c>
      <c r="C569" s="1" t="s">
        <v>4499</v>
      </c>
      <c r="D569" s="1">
        <v>18.358000000000001</v>
      </c>
      <c r="E569" s="1" t="s">
        <v>4500</v>
      </c>
      <c r="F569" s="1" t="s">
        <v>4501</v>
      </c>
      <c r="G569" s="1">
        <v>205.03555</v>
      </c>
      <c r="H569" s="2">
        <v>1945336.7727235099</v>
      </c>
      <c r="I569" s="1" t="s">
        <v>17</v>
      </c>
      <c r="J569" s="1">
        <v>205.25299999999999</v>
      </c>
      <c r="K569" s="1">
        <v>204.02826999999999</v>
      </c>
      <c r="L569" s="7">
        <f>G569-J569</f>
        <v>-0.21744999999998527</v>
      </c>
      <c r="M569" s="1" t="s">
        <v>24</v>
      </c>
      <c r="N569" s="2">
        <v>152933.87175704699</v>
      </c>
      <c r="O569" s="1">
        <v>168925.38517614099</v>
      </c>
      <c r="P569" s="1">
        <v>217708.90914428301</v>
      </c>
      <c r="Q569" s="1">
        <f>STDEV(N569:P569)</f>
        <v>33742.569998695406</v>
      </c>
      <c r="R569" s="1">
        <v>179856.05535915701</v>
      </c>
      <c r="S569" s="1">
        <v>2.2056068162143683E-4</v>
      </c>
    </row>
    <row r="570" spans="1:19" x14ac:dyDescent="0.3">
      <c r="A570" s="1">
        <v>885</v>
      </c>
      <c r="B570" s="1" t="s">
        <v>1855</v>
      </c>
      <c r="C570" s="1" t="s">
        <v>1856</v>
      </c>
      <c r="D570" s="1">
        <v>6.7930000000000001</v>
      </c>
      <c r="E570" s="1" t="s">
        <v>1857</v>
      </c>
      <c r="F570" s="1" t="s">
        <v>1858</v>
      </c>
      <c r="G570" s="1">
        <v>313.12916999999999</v>
      </c>
      <c r="H570" s="2">
        <v>14021463.0984823</v>
      </c>
      <c r="I570" s="1" t="s">
        <v>23</v>
      </c>
      <c r="J570" s="1">
        <v>313.34775999999999</v>
      </c>
      <c r="K570" s="1">
        <v>314.13639999999998</v>
      </c>
      <c r="L570" s="7">
        <f>G570-J570</f>
        <v>-0.21859000000000606</v>
      </c>
      <c r="M570" s="1" t="s">
        <v>954</v>
      </c>
      <c r="N570" s="2">
        <v>7376571.3315580999</v>
      </c>
      <c r="O570" s="1">
        <v>6137807.4951903503</v>
      </c>
      <c r="P570" s="1">
        <v>14021463.0984823</v>
      </c>
      <c r="Q570" s="1">
        <f>STDEV(N570:P570)</f>
        <v>4239519.3931180844</v>
      </c>
      <c r="R570" s="1">
        <v>9178613.9750769157</v>
      </c>
      <c r="S570" s="1">
        <v>1.125589767128149E-2</v>
      </c>
    </row>
    <row r="571" spans="1:19" x14ac:dyDescent="0.3">
      <c r="A571" s="1">
        <v>986</v>
      </c>
      <c r="B571" s="1" t="s">
        <v>1966</v>
      </c>
      <c r="C571" s="1" t="s">
        <v>1967</v>
      </c>
      <c r="D571" s="1">
        <v>7.0890000000000004</v>
      </c>
      <c r="E571" s="1"/>
      <c r="F571" s="1" t="s">
        <v>1968</v>
      </c>
      <c r="G571" s="1">
        <v>332.18126999999998</v>
      </c>
      <c r="H571" s="2">
        <v>33719639.979900599</v>
      </c>
      <c r="I571" s="1" t="s">
        <v>150</v>
      </c>
      <c r="J571" s="1">
        <v>332.4</v>
      </c>
      <c r="K571" s="1">
        <v>355.17059</v>
      </c>
      <c r="L571" s="7">
        <f>G571-J571</f>
        <v>-0.21872999999999365</v>
      </c>
      <c r="M571" s="1" t="s">
        <v>24</v>
      </c>
      <c r="N571" s="2">
        <v>17771892.9222578</v>
      </c>
      <c r="O571" s="1">
        <v>3387741.1456060698</v>
      </c>
      <c r="P571" s="1">
        <v>1629840.6034408901</v>
      </c>
      <c r="Q571" s="1">
        <f>STDEV(N571:P571)</f>
        <v>8855882.1291587502</v>
      </c>
      <c r="R571" s="1">
        <v>7596491.5571015878</v>
      </c>
      <c r="S571" s="1">
        <v>9.3157127927664864E-3</v>
      </c>
    </row>
    <row r="572" spans="1:19" x14ac:dyDescent="0.3">
      <c r="A572" s="1">
        <v>345</v>
      </c>
      <c r="B572" s="1" t="s">
        <v>1421</v>
      </c>
      <c r="C572" s="1" t="s">
        <v>1422</v>
      </c>
      <c r="D572" s="1">
        <v>0.32600000000000001</v>
      </c>
      <c r="E572" s="1" t="s">
        <v>1423</v>
      </c>
      <c r="F572" s="1" t="s">
        <v>1424</v>
      </c>
      <c r="G572" s="1">
        <v>234.16040000000001</v>
      </c>
      <c r="H572" s="2">
        <v>33398564.672345199</v>
      </c>
      <c r="I572" s="1" t="s">
        <v>23</v>
      </c>
      <c r="J572" s="1">
        <v>234.38033999999999</v>
      </c>
      <c r="K572" s="1">
        <v>235.16767999999999</v>
      </c>
      <c r="L572" s="7">
        <f>G572-J572</f>
        <v>-0.21993999999997982</v>
      </c>
      <c r="M572" s="1" t="s">
        <v>24</v>
      </c>
      <c r="N572" s="2">
        <v>9726460.8715418391</v>
      </c>
      <c r="O572" s="1">
        <v>33398564.672345199</v>
      </c>
      <c r="P572" s="1">
        <v>10875577.8110308</v>
      </c>
      <c r="Q572" s="1">
        <f>STDEV(N572:P572)</f>
        <v>13347745.785035335</v>
      </c>
      <c r="R572" s="1">
        <v>18000201.118305944</v>
      </c>
      <c r="S572" s="1">
        <v>2.2073966984589362E-2</v>
      </c>
    </row>
    <row r="573" spans="1:19" x14ac:dyDescent="0.3">
      <c r="A573" s="1">
        <v>594</v>
      </c>
      <c r="B573" s="1" t="s">
        <v>1130</v>
      </c>
      <c r="C573" s="1" t="s">
        <v>1131</v>
      </c>
      <c r="D573" s="1">
        <v>0.88200000000000001</v>
      </c>
      <c r="E573" s="1" t="s">
        <v>1132</v>
      </c>
      <c r="F573" s="1" t="s">
        <v>1133</v>
      </c>
      <c r="G573" s="1">
        <v>258.04903999999999</v>
      </c>
      <c r="H573" s="2">
        <v>62790938.895176299</v>
      </c>
      <c r="I573" s="1" t="s">
        <v>17</v>
      </c>
      <c r="J573" s="1">
        <v>258.26925999999997</v>
      </c>
      <c r="K573" s="1">
        <v>257.04194000000001</v>
      </c>
      <c r="L573" s="7">
        <f>G573-J573</f>
        <v>-0.22021999999998343</v>
      </c>
      <c r="M573" s="1" t="s">
        <v>1134</v>
      </c>
      <c r="N573" s="2">
        <v>12504913.2475916</v>
      </c>
      <c r="O573" s="1">
        <v>20232885.723183502</v>
      </c>
      <c r="P573" s="1">
        <v>62790938.895176299</v>
      </c>
      <c r="Q573" s="1">
        <f>STDEV(N573:P573)</f>
        <v>27078878.065764405</v>
      </c>
      <c r="R573" s="1">
        <v>31842912.6219838</v>
      </c>
      <c r="S573" s="1">
        <v>3.9049530463078866E-2</v>
      </c>
    </row>
    <row r="574" spans="1:19" x14ac:dyDescent="0.3">
      <c r="A574" s="1">
        <v>472</v>
      </c>
      <c r="B574" s="1" t="s">
        <v>4370</v>
      </c>
      <c r="C574" s="1" t="s">
        <v>4371</v>
      </c>
      <c r="D574" s="1">
        <v>8.1159999999999997</v>
      </c>
      <c r="E574" s="1" t="s">
        <v>4372</v>
      </c>
      <c r="F574" s="1" t="s">
        <v>4373</v>
      </c>
      <c r="G574" s="1">
        <v>542.26941999999997</v>
      </c>
      <c r="H574" s="2">
        <v>66492885.486279704</v>
      </c>
      <c r="I574" s="1" t="s">
        <v>17</v>
      </c>
      <c r="J574" s="1">
        <v>542.48968000000002</v>
      </c>
      <c r="K574" s="1">
        <v>541.26215000000002</v>
      </c>
      <c r="L574" s="7">
        <f>G574-J574</f>
        <v>-0.22026000000005297</v>
      </c>
      <c r="M574" s="1" t="s">
        <v>4374</v>
      </c>
      <c r="N574" s="2">
        <v>224023.23740614901</v>
      </c>
      <c r="O574" s="1">
        <v>276129.05727474601</v>
      </c>
      <c r="P574" s="1">
        <v>282257.95110779599</v>
      </c>
      <c r="Q574" s="1">
        <f>STDEV(N574:P574)</f>
        <v>31999.63979929635</v>
      </c>
      <c r="R574" s="1">
        <v>260803.41526289703</v>
      </c>
      <c r="S574" s="1">
        <v>3.1982786970788824E-4</v>
      </c>
    </row>
    <row r="575" spans="1:19" x14ac:dyDescent="0.3">
      <c r="A575" s="1">
        <v>93</v>
      </c>
      <c r="B575" s="1" t="s">
        <v>1832</v>
      </c>
      <c r="C575" s="1" t="s">
        <v>1833</v>
      </c>
      <c r="D575" s="1">
        <v>12.288</v>
      </c>
      <c r="E575" s="1" t="s">
        <v>1834</v>
      </c>
      <c r="F575" s="1" t="s">
        <v>1835</v>
      </c>
      <c r="G575" s="1">
        <v>312.22868999999997</v>
      </c>
      <c r="H575" s="2">
        <v>24224473.339519899</v>
      </c>
      <c r="I575" s="1" t="s">
        <v>959</v>
      </c>
      <c r="J575" s="1">
        <v>312.44911999999999</v>
      </c>
      <c r="K575" s="1">
        <v>293.21062999999998</v>
      </c>
      <c r="L575" s="7">
        <f>G575-J575</f>
        <v>-0.22043000000002166</v>
      </c>
      <c r="M575" s="1" t="s">
        <v>1836</v>
      </c>
      <c r="N575" s="2">
        <v>17772147.817310899</v>
      </c>
      <c r="O575" s="1">
        <v>8338850.4381462298</v>
      </c>
      <c r="P575" s="1">
        <v>1834309.0127099699</v>
      </c>
      <c r="Q575" s="1">
        <f>STDEV(N575:P575)</f>
        <v>8013643.2035249975</v>
      </c>
      <c r="R575" s="1">
        <v>9315102.4227223676</v>
      </c>
      <c r="S575" s="1">
        <v>1.1423275883741547E-2</v>
      </c>
    </row>
    <row r="576" spans="1:19" x14ac:dyDescent="0.3">
      <c r="A576" s="1">
        <v>32</v>
      </c>
      <c r="B576" s="1" t="s">
        <v>2157</v>
      </c>
      <c r="C576" s="1" t="s">
        <v>2158</v>
      </c>
      <c r="D576" s="1">
        <v>9.7880000000000003</v>
      </c>
      <c r="E576" s="1" t="s">
        <v>2159</v>
      </c>
      <c r="F576" s="1" t="s">
        <v>2160</v>
      </c>
      <c r="G576" s="1">
        <v>308.19688000000002</v>
      </c>
      <c r="H576" s="2">
        <v>76738418.432092607</v>
      </c>
      <c r="I576" s="1" t="s">
        <v>17</v>
      </c>
      <c r="J576" s="1">
        <v>308.41735999999997</v>
      </c>
      <c r="K576" s="1">
        <v>307.18959999999998</v>
      </c>
      <c r="L576" s="7">
        <f>G576-J576</f>
        <v>-0.22047999999995227</v>
      </c>
      <c r="M576" s="1" t="s">
        <v>2161</v>
      </c>
      <c r="N576" s="2">
        <v>8384342.1665451303</v>
      </c>
      <c r="O576" s="1">
        <v>4825451.6986179398</v>
      </c>
      <c r="P576" s="1">
        <v>4767891.4319432797</v>
      </c>
      <c r="Q576" s="1">
        <f>STDEV(N576:P576)</f>
        <v>2071542.5195895708</v>
      </c>
      <c r="R576" s="1">
        <v>5992561.7657021163</v>
      </c>
      <c r="S576" s="1">
        <v>7.3487851441112282E-3</v>
      </c>
    </row>
    <row r="577" spans="1:19" x14ac:dyDescent="0.3">
      <c r="A577" s="1">
        <v>130</v>
      </c>
      <c r="B577" s="1" t="s">
        <v>1735</v>
      </c>
      <c r="C577" s="1" t="s">
        <v>1736</v>
      </c>
      <c r="D577" s="1">
        <v>11.098000000000001</v>
      </c>
      <c r="E577" s="1" t="s">
        <v>1737</v>
      </c>
      <c r="F577" s="1" t="s">
        <v>1738</v>
      </c>
      <c r="G577" s="1">
        <v>384.24788999999998</v>
      </c>
      <c r="H577" s="2">
        <v>70232890.389378607</v>
      </c>
      <c r="I577" s="1" t="s">
        <v>150</v>
      </c>
      <c r="J577" s="1">
        <v>384.46872000000002</v>
      </c>
      <c r="K577" s="1">
        <v>407.23712</v>
      </c>
      <c r="L577" s="7">
        <f>G577-J577</f>
        <v>-0.22083000000003494</v>
      </c>
      <c r="M577" s="1" t="s">
        <v>1739</v>
      </c>
      <c r="N577" s="2">
        <v>19380689.349802501</v>
      </c>
      <c r="O577" s="1">
        <v>9054469.0613998808</v>
      </c>
      <c r="P577" s="1">
        <v>2850943.6396526699</v>
      </c>
      <c r="Q577" s="1">
        <f>STDEV(N577:P577)</f>
        <v>8350120.2221395047</v>
      </c>
      <c r="R577" s="1">
        <v>10428700.68361835</v>
      </c>
      <c r="S577" s="1">
        <v>1.2788901250011205E-2</v>
      </c>
    </row>
    <row r="578" spans="1:19" x14ac:dyDescent="0.3">
      <c r="A578" s="1">
        <v>521</v>
      </c>
      <c r="B578" s="1" t="s">
        <v>2485</v>
      </c>
      <c r="C578" s="1" t="s">
        <v>2486</v>
      </c>
      <c r="D578" s="1">
        <v>7.2539999999999996</v>
      </c>
      <c r="E578" s="1" t="s">
        <v>2487</v>
      </c>
      <c r="F578" s="1" t="s">
        <v>2488</v>
      </c>
      <c r="G578" s="1">
        <v>580.2704</v>
      </c>
      <c r="H578" s="2">
        <v>4983964.0098581798</v>
      </c>
      <c r="I578" s="1" t="s">
        <v>17</v>
      </c>
      <c r="J578" s="1">
        <v>580.49152000000004</v>
      </c>
      <c r="K578" s="1">
        <v>579.26311999999996</v>
      </c>
      <c r="L578" s="7">
        <f>G578-J578</f>
        <v>-0.22112000000004173</v>
      </c>
      <c r="M578" s="1" t="s">
        <v>2489</v>
      </c>
      <c r="N578" s="2">
        <v>4983964.0098581798</v>
      </c>
      <c r="O578" s="1">
        <v>3769313.1448676302</v>
      </c>
      <c r="P578" s="1">
        <v>2174105.6321965898</v>
      </c>
      <c r="Q578" s="1">
        <f>STDEV(N578:P578)</f>
        <v>1409217.7401440041</v>
      </c>
      <c r="R578" s="1">
        <v>3642460.9289741335</v>
      </c>
      <c r="S578" s="1">
        <v>4.4668146628129872E-3</v>
      </c>
    </row>
    <row r="579" spans="1:19" x14ac:dyDescent="0.3">
      <c r="A579" s="1">
        <v>748</v>
      </c>
      <c r="B579" s="1" t="s">
        <v>4455</v>
      </c>
      <c r="C579" s="1" t="s">
        <v>4456</v>
      </c>
      <c r="D579" s="1">
        <v>1.0049999999999999</v>
      </c>
      <c r="E579" s="1" t="s">
        <v>4457</v>
      </c>
      <c r="F579" s="1" t="s">
        <v>4458</v>
      </c>
      <c r="G579" s="1">
        <v>152.01219</v>
      </c>
      <c r="H579" s="2">
        <v>376216.38968782697</v>
      </c>
      <c r="I579" s="1" t="s">
        <v>17</v>
      </c>
      <c r="J579" s="1">
        <v>152.23344</v>
      </c>
      <c r="K579" s="1">
        <v>151.00491</v>
      </c>
      <c r="L579" s="7">
        <f>G579-J579</f>
        <v>-0.22124999999999773</v>
      </c>
      <c r="M579" s="1" t="s">
        <v>24</v>
      </c>
      <c r="N579" s="2">
        <v>157089.549760152</v>
      </c>
      <c r="O579" s="1">
        <v>323677.41486892098</v>
      </c>
      <c r="P579" s="1">
        <v>177977.21039242699</v>
      </c>
      <c r="Q579" s="1">
        <f>STDEV(N579:P579)</f>
        <v>90752.741696581492</v>
      </c>
      <c r="R579" s="1">
        <v>219581.39167383334</v>
      </c>
      <c r="S579" s="1">
        <v>2.6927656854394927E-4</v>
      </c>
    </row>
    <row r="580" spans="1:19" x14ac:dyDescent="0.3">
      <c r="A580" s="1">
        <v>340</v>
      </c>
      <c r="B580" s="1" t="s">
        <v>1576</v>
      </c>
      <c r="C580" s="1" t="s">
        <v>1577</v>
      </c>
      <c r="D580" s="1">
        <v>11.236000000000001</v>
      </c>
      <c r="E580" s="1" t="s">
        <v>1578</v>
      </c>
      <c r="F580" s="1" t="s">
        <v>1579</v>
      </c>
      <c r="G580" s="1">
        <v>315.27463999999998</v>
      </c>
      <c r="H580" s="2">
        <v>134625918.12687901</v>
      </c>
      <c r="I580" s="1" t="s">
        <v>23</v>
      </c>
      <c r="J580" s="1">
        <v>315.49612000000002</v>
      </c>
      <c r="K580" s="1">
        <v>316.28192000000001</v>
      </c>
      <c r="L580" s="7">
        <f>G580-J580</f>
        <v>-0.22148000000004231</v>
      </c>
      <c r="M580" s="1" t="s">
        <v>1580</v>
      </c>
      <c r="N580" s="2">
        <v>27566166.394300301</v>
      </c>
      <c r="O580" s="1">
        <v>8322465.10203637</v>
      </c>
      <c r="P580" s="1">
        <v>5337474.3807060001</v>
      </c>
      <c r="Q580" s="1">
        <f>STDEV(N580:P580)</f>
        <v>12064721.005667312</v>
      </c>
      <c r="R580" s="1">
        <v>13742035.292347556</v>
      </c>
      <c r="S580" s="1">
        <v>1.6852102448780316E-2</v>
      </c>
    </row>
    <row r="581" spans="1:19" x14ac:dyDescent="0.3">
      <c r="A581" s="1">
        <v>341</v>
      </c>
      <c r="B581" s="1" t="s">
        <v>1468</v>
      </c>
      <c r="C581" s="1" t="s">
        <v>1469</v>
      </c>
      <c r="D581" s="1">
        <v>11.356</v>
      </c>
      <c r="E581" s="1" t="s">
        <v>1470</v>
      </c>
      <c r="F581" s="1" t="s">
        <v>1471</v>
      </c>
      <c r="G581" s="1">
        <v>317.29043999999999</v>
      </c>
      <c r="H581" s="2">
        <v>192645683.69574699</v>
      </c>
      <c r="I581" s="1" t="s">
        <v>23</v>
      </c>
      <c r="J581" s="1">
        <v>317.512</v>
      </c>
      <c r="K581" s="1">
        <v>318.29771</v>
      </c>
      <c r="L581" s="7">
        <f>G581-J581</f>
        <v>-0.22156000000001086</v>
      </c>
      <c r="M581" s="1" t="s">
        <v>24</v>
      </c>
      <c r="N581" s="2">
        <v>23835535.141952898</v>
      </c>
      <c r="O581" s="1">
        <v>21392912.4379085</v>
      </c>
      <c r="P581" s="1">
        <v>1815815.77554668</v>
      </c>
      <c r="Q581" s="1">
        <f>STDEV(N581:P581)</f>
        <v>12069915.495265193</v>
      </c>
      <c r="R581" s="1">
        <v>15681421.118469359</v>
      </c>
      <c r="S581" s="1">
        <v>1.9230405802994292E-2</v>
      </c>
    </row>
    <row r="582" spans="1:19" x14ac:dyDescent="0.3">
      <c r="A582" s="1">
        <v>408</v>
      </c>
      <c r="B582" s="1" t="s">
        <v>4526</v>
      </c>
      <c r="C582" s="1" t="s">
        <v>4527</v>
      </c>
      <c r="D582" s="1">
        <v>9.08</v>
      </c>
      <c r="E582" s="1" t="s">
        <v>4528</v>
      </c>
      <c r="F582" s="1" t="s">
        <v>4529</v>
      </c>
      <c r="G582" s="1">
        <v>291.12067999999999</v>
      </c>
      <c r="H582" s="2">
        <v>245695.66197665699</v>
      </c>
      <c r="I582" s="1" t="s">
        <v>17</v>
      </c>
      <c r="J582" s="1">
        <v>291.34224</v>
      </c>
      <c r="K582" s="1">
        <v>290.11340000000001</v>
      </c>
      <c r="L582" s="7">
        <f>G582-J582</f>
        <v>-0.22156000000001086</v>
      </c>
      <c r="M582" s="1" t="s">
        <v>4530</v>
      </c>
      <c r="N582" s="2">
        <v>76996.357007895305</v>
      </c>
      <c r="O582" s="1">
        <v>231981.944037245</v>
      </c>
      <c r="P582" s="1">
        <v>106617.66242390699</v>
      </c>
      <c r="Q582" s="1">
        <f>STDEV(N582:P582)</f>
        <v>82274.091735905429</v>
      </c>
      <c r="R582" s="1">
        <v>138531.98782301578</v>
      </c>
      <c r="S582" s="1">
        <v>1.698842421490999E-4</v>
      </c>
    </row>
    <row r="583" spans="1:19" x14ac:dyDescent="0.3">
      <c r="A583" s="1">
        <v>714</v>
      </c>
      <c r="B583" s="1" t="s">
        <v>355</v>
      </c>
      <c r="C583" s="1" t="s">
        <v>356</v>
      </c>
      <c r="D583" s="1">
        <v>13.298</v>
      </c>
      <c r="E583" s="1" t="s">
        <v>357</v>
      </c>
      <c r="F583" s="1" t="s">
        <v>358</v>
      </c>
      <c r="G583" s="1">
        <v>338.25866000000002</v>
      </c>
      <c r="H583" s="2">
        <v>256400171.00799301</v>
      </c>
      <c r="I583" s="1" t="s">
        <v>23</v>
      </c>
      <c r="J583" s="1">
        <v>338.48156</v>
      </c>
      <c r="K583" s="1">
        <v>339.26596000000001</v>
      </c>
      <c r="L583" s="7">
        <f>G583-J583</f>
        <v>-0.22289999999998145</v>
      </c>
      <c r="M583" s="1" t="s">
        <v>359</v>
      </c>
      <c r="N583" s="2">
        <v>124419309.28521401</v>
      </c>
      <c r="O583" s="1">
        <v>256400171.00799301</v>
      </c>
      <c r="P583" s="1">
        <v>65109064.1437205</v>
      </c>
      <c r="Q583" s="1">
        <f>STDEV(N583:P583)</f>
        <v>97919133.817306846</v>
      </c>
      <c r="R583" s="1">
        <v>148642848.14564252</v>
      </c>
      <c r="S583" s="1">
        <v>0.18228337010775805</v>
      </c>
    </row>
    <row r="584" spans="1:19" x14ac:dyDescent="0.3">
      <c r="A584" s="1">
        <v>402</v>
      </c>
      <c r="B584" s="1" t="s">
        <v>2074</v>
      </c>
      <c r="C584" s="1" t="s">
        <v>2075</v>
      </c>
      <c r="D584" s="1">
        <v>6.681</v>
      </c>
      <c r="E584" s="1" t="s">
        <v>2076</v>
      </c>
      <c r="F584" s="1" t="s">
        <v>2077</v>
      </c>
      <c r="G584" s="1">
        <v>303.12983000000003</v>
      </c>
      <c r="H584" s="2">
        <v>8639857.1690468509</v>
      </c>
      <c r="I584" s="1" t="s">
        <v>17</v>
      </c>
      <c r="J584" s="1">
        <v>303.35293999999999</v>
      </c>
      <c r="K584" s="1">
        <v>302.12254999999999</v>
      </c>
      <c r="L584" s="7">
        <f>G584-J584</f>
        <v>-0.22310999999996284</v>
      </c>
      <c r="M584" s="1" t="s">
        <v>2078</v>
      </c>
      <c r="N584" s="2">
        <v>8064682.6941530704</v>
      </c>
      <c r="O584" s="1">
        <v>3861965.0212325901</v>
      </c>
      <c r="P584" s="1">
        <v>8639857.1690468509</v>
      </c>
      <c r="Q584" s="1">
        <f>STDEV(N584:P584)</f>
        <v>2608381.1994860163</v>
      </c>
      <c r="R584" s="1">
        <v>6855501.6281441702</v>
      </c>
      <c r="S584" s="1">
        <v>8.4070236553387464E-3</v>
      </c>
    </row>
    <row r="585" spans="1:19" x14ac:dyDescent="0.3">
      <c r="A585" s="1">
        <v>861</v>
      </c>
      <c r="B585" s="1" t="s">
        <v>840</v>
      </c>
      <c r="C585" s="1" t="s">
        <v>841</v>
      </c>
      <c r="D585" s="1">
        <v>0.32500000000000001</v>
      </c>
      <c r="E585" s="1" t="s">
        <v>842</v>
      </c>
      <c r="F585" s="1" t="s">
        <v>843</v>
      </c>
      <c r="G585" s="1">
        <v>380.25330000000002</v>
      </c>
      <c r="H585" s="2">
        <v>118381013.78808901</v>
      </c>
      <c r="I585" s="1" t="s">
        <v>398</v>
      </c>
      <c r="J585" s="1">
        <v>380.47672</v>
      </c>
      <c r="K585" s="1">
        <v>398.28714000000002</v>
      </c>
      <c r="L585" s="7">
        <f>G585-J585</f>
        <v>-0.22341999999997597</v>
      </c>
      <c r="M585" s="1" t="s">
        <v>844</v>
      </c>
      <c r="N585" s="2">
        <v>566957.35450355895</v>
      </c>
      <c r="O585" s="1">
        <v>39161005.801799297</v>
      </c>
      <c r="P585" s="1">
        <v>118381013.78808901</v>
      </c>
      <c r="Q585" s="1">
        <f>STDEV(N585:P585)</f>
        <v>60063108.663910165</v>
      </c>
      <c r="R585" s="1">
        <v>52702992.314797282</v>
      </c>
      <c r="S585" s="1">
        <v>6.4630617441422789E-2</v>
      </c>
    </row>
    <row r="586" spans="1:19" x14ac:dyDescent="0.3">
      <c r="A586" s="1">
        <v>395</v>
      </c>
      <c r="B586" s="1" t="s">
        <v>1901</v>
      </c>
      <c r="C586" s="1" t="s">
        <v>1902</v>
      </c>
      <c r="D586" s="1">
        <v>0.68400000000000005</v>
      </c>
      <c r="E586" s="1" t="s">
        <v>1903</v>
      </c>
      <c r="F586" s="1" t="s">
        <v>1904</v>
      </c>
      <c r="G586" s="1">
        <v>303.12947000000003</v>
      </c>
      <c r="H586" s="2">
        <v>11220274.2841185</v>
      </c>
      <c r="I586" s="1" t="s">
        <v>156</v>
      </c>
      <c r="J586" s="1">
        <v>303.35293999999999</v>
      </c>
      <c r="K586" s="1">
        <v>286.12646000000001</v>
      </c>
      <c r="L586" s="7">
        <f>G586-J586</f>
        <v>-0.22346999999996342</v>
      </c>
      <c r="M586" s="1" t="s">
        <v>24</v>
      </c>
      <c r="N586" s="2">
        <v>11220274.2841185</v>
      </c>
      <c r="O586" s="1">
        <v>5427896.5739847999</v>
      </c>
      <c r="P586" s="1">
        <v>8445124.9197555501</v>
      </c>
      <c r="Q586" s="1">
        <f>STDEV(N586:P586)</f>
        <v>2897031.8264820743</v>
      </c>
      <c r="R586" s="1">
        <v>8364431.9259529496</v>
      </c>
      <c r="S586" s="1">
        <v>1.0257451734278583E-2</v>
      </c>
    </row>
    <row r="587" spans="1:19" x14ac:dyDescent="0.3">
      <c r="A587" s="1">
        <v>615</v>
      </c>
      <c r="B587" s="1" t="s">
        <v>161</v>
      </c>
      <c r="C587" s="1" t="s">
        <v>162</v>
      </c>
      <c r="D587" s="1">
        <v>20.585999999999999</v>
      </c>
      <c r="E587" s="1" t="s">
        <v>163</v>
      </c>
      <c r="F587" s="1" t="s">
        <v>164</v>
      </c>
      <c r="G587" s="1">
        <v>322.21562999999998</v>
      </c>
      <c r="H587" s="2">
        <v>9483523929.2798405</v>
      </c>
      <c r="I587" s="1" t="s">
        <v>17</v>
      </c>
      <c r="J587" s="1">
        <v>322.4391</v>
      </c>
      <c r="K587" s="1">
        <v>321.20835</v>
      </c>
      <c r="L587" s="7">
        <f>G587-J587</f>
        <v>-0.22347000000002026</v>
      </c>
      <c r="M587" s="1" t="s">
        <v>165</v>
      </c>
      <c r="N587" s="2">
        <v>73564483.725620598</v>
      </c>
      <c r="O587" s="1">
        <v>356501504.462699</v>
      </c>
      <c r="P587" s="1">
        <v>872062549.36406302</v>
      </c>
      <c r="Q587" s="1">
        <f>STDEV(N587:P587)</f>
        <v>404857116.67856658</v>
      </c>
      <c r="R587" s="1">
        <v>434042845.85079414</v>
      </c>
      <c r="S587" s="1">
        <v>0.53227446661492317</v>
      </c>
    </row>
    <row r="588" spans="1:19" x14ac:dyDescent="0.3">
      <c r="A588" s="1">
        <v>41</v>
      </c>
      <c r="B588" s="1" t="s">
        <v>2263</v>
      </c>
      <c r="C588" s="1" t="s">
        <v>2264</v>
      </c>
      <c r="D588" s="1">
        <v>8.859</v>
      </c>
      <c r="E588" s="1" t="s">
        <v>2265</v>
      </c>
      <c r="F588" s="1" t="s">
        <v>2266</v>
      </c>
      <c r="G588" s="1">
        <v>313.12900000000002</v>
      </c>
      <c r="H588" s="2">
        <v>17235593.691300299</v>
      </c>
      <c r="I588" s="1" t="s">
        <v>17</v>
      </c>
      <c r="J588" s="1">
        <v>313.3526</v>
      </c>
      <c r="K588" s="1">
        <v>312.12261999999998</v>
      </c>
      <c r="L588" s="7">
        <f>G588-J588</f>
        <v>-0.22359999999997626</v>
      </c>
      <c r="M588" s="1" t="s">
        <v>954</v>
      </c>
      <c r="N588" s="2">
        <v>8009289.0374830896</v>
      </c>
      <c r="O588" s="1">
        <v>6244990.5859156502</v>
      </c>
      <c r="P588" s="1">
        <v>662493.07812664495</v>
      </c>
      <c r="Q588" s="1">
        <f>STDEV(N588:P588)</f>
        <v>3835197.4812059314</v>
      </c>
      <c r="R588" s="1">
        <v>4972257.5671751285</v>
      </c>
      <c r="S588" s="1">
        <v>6.0975679468979194E-3</v>
      </c>
    </row>
    <row r="589" spans="1:19" x14ac:dyDescent="0.3">
      <c r="A589" s="1">
        <v>982</v>
      </c>
      <c r="B589" s="1" t="s">
        <v>2011</v>
      </c>
      <c r="C589" s="1" t="s">
        <v>2012</v>
      </c>
      <c r="D589" s="1">
        <v>7.6660000000000004</v>
      </c>
      <c r="E589" s="1" t="s">
        <v>2013</v>
      </c>
      <c r="F589" s="1" t="s">
        <v>2014</v>
      </c>
      <c r="G589" s="1">
        <v>362.19249000000002</v>
      </c>
      <c r="H589" s="2">
        <v>8421602.1234170608</v>
      </c>
      <c r="I589" s="1" t="s">
        <v>17</v>
      </c>
      <c r="J589" s="1">
        <v>362.41683999999998</v>
      </c>
      <c r="K589" s="1">
        <v>361.18520999999998</v>
      </c>
      <c r="L589" s="7">
        <f>G589-J589</f>
        <v>-0.22434999999995853</v>
      </c>
      <c r="M589" s="1" t="s">
        <v>2015</v>
      </c>
      <c r="N589" s="2">
        <v>5173532.2944002096</v>
      </c>
      <c r="O589" s="1">
        <v>8421602.1234170608</v>
      </c>
      <c r="P589" s="1">
        <v>8329906.1763199205</v>
      </c>
      <c r="Q589" s="1">
        <f>STDEV(N589:P589)</f>
        <v>1849372.0485319891</v>
      </c>
      <c r="R589" s="1">
        <v>7308346.8647123976</v>
      </c>
      <c r="S589" s="1">
        <v>8.9623558283203984E-3</v>
      </c>
    </row>
    <row r="590" spans="1:19" x14ac:dyDescent="0.3">
      <c r="A590" s="1">
        <v>99</v>
      </c>
      <c r="B590" s="1" t="s">
        <v>3854</v>
      </c>
      <c r="C590" s="1" t="s">
        <v>3855</v>
      </c>
      <c r="D590" s="1">
        <v>14.624000000000001</v>
      </c>
      <c r="E590" s="1" t="s">
        <v>3856</v>
      </c>
      <c r="F590" s="1" t="s">
        <v>3857</v>
      </c>
      <c r="G590" s="1">
        <v>322.17642999999998</v>
      </c>
      <c r="H590" s="2">
        <v>1632198.70538086</v>
      </c>
      <c r="I590" s="1" t="s">
        <v>23</v>
      </c>
      <c r="J590" s="1">
        <v>322.40087999999997</v>
      </c>
      <c r="K590" s="1">
        <v>323.18371000000002</v>
      </c>
      <c r="L590" s="7">
        <f>G590-J590</f>
        <v>-0.22444999999999027</v>
      </c>
      <c r="M590" s="1" t="s">
        <v>24</v>
      </c>
      <c r="N590" s="2">
        <v>1259172.1907575801</v>
      </c>
      <c r="O590" s="1">
        <v>486563.20661208301</v>
      </c>
      <c r="P590" s="1">
        <v>375727.922730038</v>
      </c>
      <c r="Q590" s="1">
        <f>STDEV(N590:P590)</f>
        <v>481262.72749339137</v>
      </c>
      <c r="R590" s="1">
        <v>707154.44003323372</v>
      </c>
      <c r="S590" s="1">
        <v>8.6719607518298981E-4</v>
      </c>
    </row>
    <row r="591" spans="1:19" x14ac:dyDescent="0.3">
      <c r="A591" s="1">
        <v>622</v>
      </c>
      <c r="B591" s="1" t="s">
        <v>2711</v>
      </c>
      <c r="C591" s="1" t="s">
        <v>2712</v>
      </c>
      <c r="D591" s="1">
        <v>2.1349999999999998</v>
      </c>
      <c r="E591" s="1" t="s">
        <v>2713</v>
      </c>
      <c r="F591" s="1" t="s">
        <v>2714</v>
      </c>
      <c r="G591" s="1">
        <v>312.04649000000001</v>
      </c>
      <c r="H591" s="2">
        <v>83310188.365118206</v>
      </c>
      <c r="I591" s="1" t="s">
        <v>17</v>
      </c>
      <c r="J591" s="1">
        <v>312.27357999999998</v>
      </c>
      <c r="K591" s="1">
        <v>311.03922</v>
      </c>
      <c r="L591" s="7">
        <f>G591-J591</f>
        <v>-0.22708999999997559</v>
      </c>
      <c r="M591" s="1" t="s">
        <v>2715</v>
      </c>
      <c r="N591" s="2">
        <v>2424661.34871969</v>
      </c>
      <c r="O591" s="1">
        <v>2871398.6716334401</v>
      </c>
      <c r="P591" s="1">
        <v>2827520.2961572902</v>
      </c>
      <c r="Q591" s="1">
        <f>STDEV(N591:P591)</f>
        <v>246236.63383322331</v>
      </c>
      <c r="R591" s="1">
        <v>2707860.1055034734</v>
      </c>
      <c r="S591" s="1">
        <v>3.3206970397115089E-3</v>
      </c>
    </row>
    <row r="592" spans="1:19" x14ac:dyDescent="0.3">
      <c r="A592" s="1">
        <v>579</v>
      </c>
      <c r="B592" s="1" t="s">
        <v>4199</v>
      </c>
      <c r="C592" s="1" t="s">
        <v>4200</v>
      </c>
      <c r="D592" s="1">
        <v>10.89</v>
      </c>
      <c r="E592" s="1" t="s">
        <v>4201</v>
      </c>
      <c r="F592" s="1" t="s">
        <v>4202</v>
      </c>
      <c r="G592" s="1">
        <v>378.27519000000001</v>
      </c>
      <c r="H592" s="2">
        <v>614859.69078943599</v>
      </c>
      <c r="I592" s="1" t="s">
        <v>17</v>
      </c>
      <c r="J592" s="1">
        <v>378.50236000000001</v>
      </c>
      <c r="K592" s="1">
        <v>377.26792</v>
      </c>
      <c r="L592" s="7">
        <f>G592-J592</f>
        <v>-0.22717000000000098</v>
      </c>
      <c r="M592" s="1" t="s">
        <v>4203</v>
      </c>
      <c r="N592" s="2">
        <v>614859.69078943599</v>
      </c>
      <c r="O592" s="1">
        <v>348544.99672260002</v>
      </c>
      <c r="P592" s="1">
        <v>296064.56181055901</v>
      </c>
      <c r="Q592" s="1">
        <f>STDEV(N592:P592)</f>
        <v>170932.7580196026</v>
      </c>
      <c r="R592" s="1">
        <v>419823.08310753171</v>
      </c>
      <c r="S592" s="1">
        <v>5.1483651849087411E-4</v>
      </c>
    </row>
    <row r="593" spans="1:19" x14ac:dyDescent="0.3">
      <c r="A593" s="1">
        <v>972</v>
      </c>
      <c r="B593" s="1" t="s">
        <v>2233</v>
      </c>
      <c r="C593" s="1" t="s">
        <v>2234</v>
      </c>
      <c r="D593" s="1">
        <v>5.7469999999999999</v>
      </c>
      <c r="E593" s="1" t="s">
        <v>2235</v>
      </c>
      <c r="F593" s="1" t="s">
        <v>2236</v>
      </c>
      <c r="G593" s="1">
        <v>362.18889000000001</v>
      </c>
      <c r="H593" s="2">
        <v>76533736.724301204</v>
      </c>
      <c r="I593" s="1" t="s">
        <v>23</v>
      </c>
      <c r="J593" s="1">
        <v>362.41683999999998</v>
      </c>
      <c r="K593" s="1">
        <v>363.19617</v>
      </c>
      <c r="L593" s="7">
        <f>G593-J593</f>
        <v>-0.22794999999996435</v>
      </c>
      <c r="M593" s="1" t="s">
        <v>2237</v>
      </c>
      <c r="N593" s="2">
        <v>6675781.9938689899</v>
      </c>
      <c r="O593" s="1">
        <v>3488966.4838109598</v>
      </c>
      <c r="P593" s="1">
        <v>5778523.1164061297</v>
      </c>
      <c r="Q593" s="1">
        <f>STDEV(N593:P593)</f>
        <v>1643316.5733861155</v>
      </c>
      <c r="R593" s="1">
        <v>5314423.86469536</v>
      </c>
      <c r="S593" s="1">
        <v>6.5171725671496067E-3</v>
      </c>
    </row>
    <row r="594" spans="1:19" x14ac:dyDescent="0.3">
      <c r="A594" s="1">
        <v>342</v>
      </c>
      <c r="B594" s="1" t="s">
        <v>1407</v>
      </c>
      <c r="C594" s="1" t="s">
        <v>1408</v>
      </c>
      <c r="D594" s="1">
        <v>1.01</v>
      </c>
      <c r="E594" s="1" t="s">
        <v>1409</v>
      </c>
      <c r="F594" s="1" t="s">
        <v>1410</v>
      </c>
      <c r="G594" s="1">
        <v>250.15099000000001</v>
      </c>
      <c r="H594" s="2">
        <v>39715866.735901497</v>
      </c>
      <c r="I594" s="1" t="s">
        <v>23</v>
      </c>
      <c r="J594" s="1">
        <v>250.37974</v>
      </c>
      <c r="K594" s="1">
        <v>251.15826000000001</v>
      </c>
      <c r="L594" s="7">
        <f>G594-J594</f>
        <v>-0.22874999999999091</v>
      </c>
      <c r="M594" s="1" t="s">
        <v>1411</v>
      </c>
      <c r="N594" s="2">
        <v>7201010.5770547101</v>
      </c>
      <c r="O594" s="1">
        <v>7993363.9205851601</v>
      </c>
      <c r="P594" s="1">
        <v>39715866.735901497</v>
      </c>
      <c r="Q594" s="1">
        <f>STDEV(N594:P594)</f>
        <v>18547959.814668089</v>
      </c>
      <c r="R594" s="1">
        <v>18303413.744513791</v>
      </c>
      <c r="S594" s="1">
        <v>2.2445802024444326E-2</v>
      </c>
    </row>
    <row r="595" spans="1:19" x14ac:dyDescent="0.3">
      <c r="A595" s="1">
        <v>407</v>
      </c>
      <c r="B595" s="1" t="s">
        <v>3830</v>
      </c>
      <c r="C595" s="1" t="s">
        <v>3831</v>
      </c>
      <c r="D595" s="1">
        <v>2.4329999999999998</v>
      </c>
      <c r="E595" s="1" t="s">
        <v>3832</v>
      </c>
      <c r="F595" s="1" t="s">
        <v>3833</v>
      </c>
      <c r="G595" s="1">
        <v>275.11403000000001</v>
      </c>
      <c r="H595" s="2">
        <v>960218.70703537297</v>
      </c>
      <c r="I595" s="1" t="s">
        <v>23</v>
      </c>
      <c r="J595" s="1">
        <v>275.34284000000002</v>
      </c>
      <c r="K595" s="1">
        <v>276.12130999999999</v>
      </c>
      <c r="L595" s="7">
        <f>G595-J595</f>
        <v>-0.22881000000000995</v>
      </c>
      <c r="M595" s="1" t="s">
        <v>24</v>
      </c>
      <c r="N595" s="2">
        <v>960218.70703537297</v>
      </c>
      <c r="O595" s="1">
        <v>839612.48299966997</v>
      </c>
      <c r="P595" s="1">
        <v>394515.71519084403</v>
      </c>
      <c r="Q595" s="1">
        <f>STDEV(N595:P595)</f>
        <v>297958.85313576047</v>
      </c>
      <c r="R595" s="1">
        <v>731448.96840862895</v>
      </c>
      <c r="S595" s="1">
        <v>8.9698888770435982E-4</v>
      </c>
    </row>
    <row r="596" spans="1:19" x14ac:dyDescent="0.3">
      <c r="A596" s="1">
        <v>988</v>
      </c>
      <c r="B596" s="1" t="s">
        <v>2734</v>
      </c>
      <c r="C596" s="1" t="s">
        <v>2735</v>
      </c>
      <c r="D596" s="1">
        <v>6.7530000000000001</v>
      </c>
      <c r="E596" s="1" t="s">
        <v>2736</v>
      </c>
      <c r="F596" s="1" t="s">
        <v>2737</v>
      </c>
      <c r="G596" s="1">
        <v>346.18828000000002</v>
      </c>
      <c r="H596" s="2">
        <v>55981650.10983</v>
      </c>
      <c r="I596" s="1" t="s">
        <v>456</v>
      </c>
      <c r="J596" s="1">
        <v>346.41744</v>
      </c>
      <c r="K596" s="1">
        <v>715.36596999999995</v>
      </c>
      <c r="L596" s="7">
        <f>G596-J596</f>
        <v>-0.22915999999997894</v>
      </c>
      <c r="M596" s="1" t="s">
        <v>2738</v>
      </c>
      <c r="N596" s="2">
        <v>3069046.97994295</v>
      </c>
      <c r="O596" s="1">
        <v>2392078.9218290001</v>
      </c>
      <c r="P596" s="1">
        <v>2462918.5025651301</v>
      </c>
      <c r="Q596" s="1">
        <f>STDEV(N596:P596)</f>
        <v>372087.74256300466</v>
      </c>
      <c r="R596" s="1">
        <v>2641348.1347790267</v>
      </c>
      <c r="S596" s="1">
        <v>3.2391322262851577E-3</v>
      </c>
    </row>
    <row r="597" spans="1:19" x14ac:dyDescent="0.3">
      <c r="A597" s="1">
        <v>519</v>
      </c>
      <c r="B597" s="1" t="s">
        <v>4176</v>
      </c>
      <c r="C597" s="1" t="s">
        <v>4177</v>
      </c>
      <c r="D597" s="1">
        <v>1.968</v>
      </c>
      <c r="E597" s="1" t="s">
        <v>4178</v>
      </c>
      <c r="F597" s="1" t="s">
        <v>4179</v>
      </c>
      <c r="G597" s="1">
        <v>270.00702999999999</v>
      </c>
      <c r="H597" s="2">
        <v>1928544.79247224</v>
      </c>
      <c r="I597" s="1" t="s">
        <v>17</v>
      </c>
      <c r="J597" s="1">
        <v>270.23689999999999</v>
      </c>
      <c r="K597" s="1">
        <v>268.99975000000001</v>
      </c>
      <c r="L597" s="7">
        <f>G597-J597</f>
        <v>-0.22987000000000535</v>
      </c>
      <c r="M597" s="1" t="s">
        <v>4180</v>
      </c>
      <c r="N597" s="2">
        <v>382749.40164425899</v>
      </c>
      <c r="O597" s="1">
        <v>472024.50608899997</v>
      </c>
      <c r="P597" s="1">
        <v>440681.25301581097</v>
      </c>
      <c r="Q597" s="1">
        <f>STDEV(N597:P597)</f>
        <v>45292.646920085113</v>
      </c>
      <c r="R597" s="1">
        <v>431818.38691635663</v>
      </c>
      <c r="S597" s="1">
        <v>5.2954657303447804E-4</v>
      </c>
    </row>
    <row r="598" spans="1:19" x14ac:dyDescent="0.3">
      <c r="A598" s="1">
        <v>572</v>
      </c>
      <c r="B598" s="1" t="s">
        <v>462</v>
      </c>
      <c r="C598" s="1" t="s">
        <v>463</v>
      </c>
      <c r="D598" s="1">
        <v>10.513</v>
      </c>
      <c r="E598" s="1" t="s">
        <v>464</v>
      </c>
      <c r="F598" s="1" t="s">
        <v>465</v>
      </c>
      <c r="G598" s="1">
        <v>534.28044</v>
      </c>
      <c r="H598" s="2">
        <v>123622028.859386</v>
      </c>
      <c r="I598" s="1" t="s">
        <v>17</v>
      </c>
      <c r="J598" s="1">
        <v>534.51074000000006</v>
      </c>
      <c r="K598" s="1">
        <v>533.27315999999996</v>
      </c>
      <c r="L598" s="7">
        <f>G598-J598</f>
        <v>-0.23030000000005657</v>
      </c>
      <c r="M598" s="1" t="s">
        <v>466</v>
      </c>
      <c r="N598" s="2">
        <v>109698558.325582</v>
      </c>
      <c r="O598" s="1">
        <v>123622028.859386</v>
      </c>
      <c r="P598" s="1">
        <v>107573706.533733</v>
      </c>
      <c r="Q598" s="1">
        <f>STDEV(N598:P598)</f>
        <v>8717096.9585740399</v>
      </c>
      <c r="R598" s="1">
        <v>113631431.239567</v>
      </c>
      <c r="S598" s="1">
        <v>0.13934824645058752</v>
      </c>
    </row>
    <row r="599" spans="1:19" x14ac:dyDescent="0.3">
      <c r="A599" s="1">
        <v>638</v>
      </c>
      <c r="B599" s="1" t="s">
        <v>3908</v>
      </c>
      <c r="C599" s="1" t="s">
        <v>3909</v>
      </c>
      <c r="D599" s="1">
        <v>3.8370000000000002</v>
      </c>
      <c r="E599" s="1" t="s">
        <v>3910</v>
      </c>
      <c r="F599" s="1" t="s">
        <v>3911</v>
      </c>
      <c r="G599" s="1">
        <v>324.14003000000002</v>
      </c>
      <c r="H599" s="2">
        <v>31378499.7843359</v>
      </c>
      <c r="I599" s="1" t="s">
        <v>17</v>
      </c>
      <c r="J599" s="1">
        <v>324.37040000000002</v>
      </c>
      <c r="K599" s="1">
        <v>323.13274999999999</v>
      </c>
      <c r="L599" s="7">
        <f>G599-J599</f>
        <v>-0.23036999999999352</v>
      </c>
      <c r="M599" s="1" t="s">
        <v>3912</v>
      </c>
      <c r="N599" s="2">
        <v>544537.95034038601</v>
      </c>
      <c r="O599" s="1">
        <v>694896.69794130104</v>
      </c>
      <c r="P599" s="1">
        <v>753706.40228176001</v>
      </c>
      <c r="Q599" s="1">
        <f>STDEV(N599:P599)</f>
        <v>107871.66417575335</v>
      </c>
      <c r="R599" s="1">
        <v>664380.35018781561</v>
      </c>
      <c r="S599" s="1">
        <v>8.1474144754644696E-4</v>
      </c>
    </row>
    <row r="600" spans="1:19" x14ac:dyDescent="0.3">
      <c r="A600" s="1">
        <v>543</v>
      </c>
      <c r="B600" s="1" t="s">
        <v>4039</v>
      </c>
      <c r="C600" s="1" t="s">
        <v>4040</v>
      </c>
      <c r="D600" s="1">
        <v>6.2089999999999996</v>
      </c>
      <c r="E600" s="1" t="s">
        <v>4041</v>
      </c>
      <c r="F600" s="1" t="s">
        <v>4042</v>
      </c>
      <c r="G600" s="1">
        <v>324.13997000000001</v>
      </c>
      <c r="H600" s="2">
        <v>29991274.083120201</v>
      </c>
      <c r="I600" s="1" t="s">
        <v>17</v>
      </c>
      <c r="J600" s="1">
        <v>324.37040000000002</v>
      </c>
      <c r="K600" s="1">
        <v>323.13269000000003</v>
      </c>
      <c r="L600" s="7">
        <f>G600-J600</f>
        <v>-0.23043000000001257</v>
      </c>
      <c r="M600" s="1" t="s">
        <v>3912</v>
      </c>
      <c r="N600" s="2">
        <v>567159.24106898403</v>
      </c>
      <c r="O600" s="1">
        <v>619470.08853924798</v>
      </c>
      <c r="P600" s="1">
        <v>567452.722239975</v>
      </c>
      <c r="Q600" s="1">
        <f>STDEV(N600:P600)</f>
        <v>30117.318636092888</v>
      </c>
      <c r="R600" s="1">
        <v>584694.01728273567</v>
      </c>
      <c r="S600" s="1">
        <v>7.1702067931120436E-4</v>
      </c>
    </row>
    <row r="601" spans="1:19" x14ac:dyDescent="0.3">
      <c r="A601" s="1">
        <v>287</v>
      </c>
      <c r="B601" s="1" t="s">
        <v>3783</v>
      </c>
      <c r="C601" s="1" t="s">
        <v>3784</v>
      </c>
      <c r="D601" s="1">
        <v>16.766999999999999</v>
      </c>
      <c r="E601" s="1" t="s">
        <v>3785</v>
      </c>
      <c r="F601" s="1" t="s">
        <v>3786</v>
      </c>
      <c r="G601" s="1">
        <v>275.15456</v>
      </c>
      <c r="H601" s="2">
        <v>994946.19493401202</v>
      </c>
      <c r="I601" s="1" t="s">
        <v>23</v>
      </c>
      <c r="J601" s="1">
        <v>275.38589999999999</v>
      </c>
      <c r="K601" s="1">
        <v>276.16183000000001</v>
      </c>
      <c r="L601" s="7">
        <f>G601-J601</f>
        <v>-0.23133999999998878</v>
      </c>
      <c r="M601" s="1" t="s">
        <v>24</v>
      </c>
      <c r="N601" s="2">
        <v>550797.49262101797</v>
      </c>
      <c r="O601" s="1">
        <v>763033.112661427</v>
      </c>
      <c r="P601" s="1">
        <v>994946.19493401202</v>
      </c>
      <c r="Q601" s="1">
        <f>STDEV(N601:P601)</f>
        <v>222146.98809175321</v>
      </c>
      <c r="R601" s="1">
        <v>769592.26673881896</v>
      </c>
      <c r="S601" s="1">
        <v>9.4376469329064759E-4</v>
      </c>
    </row>
    <row r="602" spans="1:19" x14ac:dyDescent="0.3">
      <c r="A602" s="1">
        <v>66</v>
      </c>
      <c r="B602" s="1" t="s">
        <v>2397</v>
      </c>
      <c r="C602" s="1" t="s">
        <v>2398</v>
      </c>
      <c r="D602" s="1">
        <v>0.123</v>
      </c>
      <c r="E602" s="1" t="s">
        <v>2399</v>
      </c>
      <c r="F602" s="1" t="s">
        <v>2400</v>
      </c>
      <c r="G602" s="1">
        <v>360.26386000000002</v>
      </c>
      <c r="H602" s="2">
        <v>7966554.5365320304</v>
      </c>
      <c r="I602" s="1" t="s">
        <v>156</v>
      </c>
      <c r="J602" s="1">
        <v>360.49522000000002</v>
      </c>
      <c r="K602" s="1">
        <v>343.26065</v>
      </c>
      <c r="L602" s="7">
        <f>G602-J602</f>
        <v>-0.23135999999999513</v>
      </c>
      <c r="M602" s="1" t="s">
        <v>24</v>
      </c>
      <c r="N602" s="2">
        <v>1542001.7875670299</v>
      </c>
      <c r="O602" s="1">
        <v>2948611.7687183502</v>
      </c>
      <c r="P602" s="1">
        <v>7966554.5365320304</v>
      </c>
      <c r="Q602" s="1">
        <f>STDEV(N602:P602)</f>
        <v>3377207.4086035909</v>
      </c>
      <c r="R602" s="1">
        <v>4152389.3642724701</v>
      </c>
      <c r="S602" s="1">
        <v>5.0921489783185767E-3</v>
      </c>
    </row>
    <row r="603" spans="1:19" x14ac:dyDescent="0.3">
      <c r="A603" s="1">
        <v>495</v>
      </c>
      <c r="B603" s="1" t="s">
        <v>2401</v>
      </c>
      <c r="C603" s="1" t="s">
        <v>2402</v>
      </c>
      <c r="D603" s="1">
        <v>12.465</v>
      </c>
      <c r="E603" s="1" t="s">
        <v>2403</v>
      </c>
      <c r="F603" s="1" t="s">
        <v>2404</v>
      </c>
      <c r="G603" s="1">
        <v>562.33266000000003</v>
      </c>
      <c r="H603" s="2">
        <v>8369744.2222170699</v>
      </c>
      <c r="I603" s="1" t="s">
        <v>17</v>
      </c>
      <c r="J603" s="1">
        <v>562.56543999999997</v>
      </c>
      <c r="K603" s="1">
        <v>561.32538</v>
      </c>
      <c r="L603" s="7">
        <f>G603-J603</f>
        <v>-0.23277999999993426</v>
      </c>
      <c r="M603" s="1" t="s">
        <v>2405</v>
      </c>
      <c r="N603" s="2">
        <v>8369744.2222170699</v>
      </c>
      <c r="O603" s="1">
        <v>3546576.3295797799</v>
      </c>
      <c r="P603" s="1">
        <v>539427.39118127502</v>
      </c>
      <c r="Q603" s="1">
        <f>STDEV(N603:P603)</f>
        <v>3950100.3137616846</v>
      </c>
      <c r="R603" s="1">
        <v>4151915.9809927084</v>
      </c>
      <c r="S603" s="1">
        <v>5.0915684599777073E-3</v>
      </c>
    </row>
    <row r="604" spans="1:19" x14ac:dyDescent="0.3">
      <c r="A604" s="1">
        <v>725</v>
      </c>
      <c r="B604" s="1" t="s">
        <v>3796</v>
      </c>
      <c r="C604" s="1" t="s">
        <v>3797</v>
      </c>
      <c r="D604" s="1">
        <v>4.2210000000000001</v>
      </c>
      <c r="E604" s="1" t="s">
        <v>3798</v>
      </c>
      <c r="F604" s="1" t="s">
        <v>3799</v>
      </c>
      <c r="G604" s="1">
        <v>318.21724</v>
      </c>
      <c r="H604" s="2">
        <v>1024049.73237214</v>
      </c>
      <c r="I604" s="1" t="s">
        <v>23</v>
      </c>
      <c r="J604" s="1">
        <v>318.4504</v>
      </c>
      <c r="K604" s="1">
        <v>319.22451999999998</v>
      </c>
      <c r="L604" s="7">
        <f>G604-J604</f>
        <v>-0.23315999999999804</v>
      </c>
      <c r="M604" s="1" t="s">
        <v>24</v>
      </c>
      <c r="N604" s="2">
        <v>481126.63158892997</v>
      </c>
      <c r="O604" s="1">
        <v>763490.35829746095</v>
      </c>
      <c r="P604" s="1">
        <v>1024049.73237214</v>
      </c>
      <c r="Q604" s="1">
        <f>STDEV(N604:P604)</f>
        <v>271534.51436326787</v>
      </c>
      <c r="R604" s="1">
        <v>756222.24075284367</v>
      </c>
      <c r="S604" s="1">
        <v>9.2736879247499614E-4</v>
      </c>
    </row>
    <row r="605" spans="1:19" x14ac:dyDescent="0.3">
      <c r="A605" s="1">
        <v>153</v>
      </c>
      <c r="B605" s="1" t="s">
        <v>4299</v>
      </c>
      <c r="C605" s="1" t="s">
        <v>4300</v>
      </c>
      <c r="D605" s="1">
        <v>8.3140000000000001</v>
      </c>
      <c r="E605" s="1" t="s">
        <v>4301</v>
      </c>
      <c r="F605" s="1" t="s">
        <v>4302</v>
      </c>
      <c r="G605" s="1">
        <v>380.20346999999998</v>
      </c>
      <c r="H605" s="2">
        <v>365128.58150277601</v>
      </c>
      <c r="I605" s="1" t="s">
        <v>17</v>
      </c>
      <c r="J605" s="1">
        <v>380.43696</v>
      </c>
      <c r="K605" s="1">
        <v>379.19619999999998</v>
      </c>
      <c r="L605" s="7">
        <f>G605-J605</f>
        <v>-0.23349000000001752</v>
      </c>
      <c r="M605" s="1" t="s">
        <v>24</v>
      </c>
      <c r="N605" s="2">
        <v>351801.45807770098</v>
      </c>
      <c r="O605" s="1">
        <v>365128.58150277601</v>
      </c>
      <c r="P605" s="1">
        <v>257779.20044935701</v>
      </c>
      <c r="Q605" s="1">
        <f>STDEV(N605:P605)</f>
        <v>58511.660890330131</v>
      </c>
      <c r="R605" s="1">
        <v>324903.08000994468</v>
      </c>
      <c r="S605" s="1">
        <v>3.9843442938185817E-4</v>
      </c>
    </row>
    <row r="606" spans="1:19" x14ac:dyDescent="0.3">
      <c r="A606" s="1">
        <v>489</v>
      </c>
      <c r="B606" s="1" t="s">
        <v>3966</v>
      </c>
      <c r="C606" s="1" t="s">
        <v>3967</v>
      </c>
      <c r="D606" s="1">
        <v>14.307</v>
      </c>
      <c r="E606" s="1" t="s">
        <v>3968</v>
      </c>
      <c r="F606" s="1" t="s">
        <v>3969</v>
      </c>
      <c r="G606" s="1">
        <v>708.47252000000003</v>
      </c>
      <c r="H606" s="2">
        <v>26569741.319786102</v>
      </c>
      <c r="I606" s="1" t="s">
        <v>23</v>
      </c>
      <c r="J606" s="1">
        <v>708.70663999999999</v>
      </c>
      <c r="K606" s="1">
        <v>709.47979999999995</v>
      </c>
      <c r="L606" s="7">
        <f>G606-J606</f>
        <v>-0.23411999999996169</v>
      </c>
      <c r="M606" s="1" t="s">
        <v>3970</v>
      </c>
      <c r="N606" s="2">
        <v>640690.20226626995</v>
      </c>
      <c r="O606" s="1">
        <v>682734.41964140802</v>
      </c>
      <c r="P606" s="1">
        <v>551441.22410264902</v>
      </c>
      <c r="Q606" s="1">
        <f>STDEV(N606:P606)</f>
        <v>67046.003500975799</v>
      </c>
      <c r="R606" s="1">
        <v>624955.28200344229</v>
      </c>
      <c r="S606" s="1">
        <v>7.663937847760577E-4</v>
      </c>
    </row>
    <row r="607" spans="1:19" x14ac:dyDescent="0.3">
      <c r="A607" s="1">
        <v>278</v>
      </c>
      <c r="B607" s="1" t="s">
        <v>433</v>
      </c>
      <c r="C607" s="1" t="s">
        <v>434</v>
      </c>
      <c r="D607" s="1">
        <v>2.3660000000000001</v>
      </c>
      <c r="E607" s="1" t="s">
        <v>435</v>
      </c>
      <c r="F607" s="1" t="s">
        <v>436</v>
      </c>
      <c r="G607" s="1">
        <v>261.12502000000001</v>
      </c>
      <c r="H607" s="2">
        <v>291428451.47826898</v>
      </c>
      <c r="I607" s="1" t="s">
        <v>23</v>
      </c>
      <c r="J607" s="1">
        <v>261.35932000000003</v>
      </c>
      <c r="K607" s="1">
        <v>262.13229000000001</v>
      </c>
      <c r="L607" s="7">
        <f>G607-J607</f>
        <v>-0.23430000000001883</v>
      </c>
      <c r="M607" s="1" t="s">
        <v>24</v>
      </c>
      <c r="N607" s="2">
        <v>130000774.851797</v>
      </c>
      <c r="O607" s="1">
        <v>166603185.94017199</v>
      </c>
      <c r="P607" s="1">
        <v>66817213.211189598</v>
      </c>
      <c r="Q607" s="1">
        <f>STDEV(N607:P607)</f>
        <v>50479598.705061115</v>
      </c>
      <c r="R607" s="1">
        <v>121140391.33438618</v>
      </c>
      <c r="S607" s="1">
        <v>0.14855661785334204</v>
      </c>
    </row>
    <row r="608" spans="1:19" x14ac:dyDescent="0.3">
      <c r="A608" s="1">
        <v>268</v>
      </c>
      <c r="B608" s="1" t="s">
        <v>420</v>
      </c>
      <c r="C608" s="1" t="s">
        <v>421</v>
      </c>
      <c r="D608" s="1">
        <v>2.5710000000000002</v>
      </c>
      <c r="E608" s="1" t="s">
        <v>422</v>
      </c>
      <c r="F608" s="1" t="s">
        <v>423</v>
      </c>
      <c r="G608" s="1">
        <v>261.12495999999999</v>
      </c>
      <c r="H608" s="2">
        <v>199720530.792658</v>
      </c>
      <c r="I608" s="1" t="s">
        <v>23</v>
      </c>
      <c r="J608" s="1">
        <v>261.35932000000003</v>
      </c>
      <c r="K608" s="1">
        <v>262.13222999999999</v>
      </c>
      <c r="L608" s="7">
        <f>G608-J608</f>
        <v>-0.23436000000003787</v>
      </c>
      <c r="M608" s="1" t="s">
        <v>24</v>
      </c>
      <c r="N608" s="2">
        <v>8954872.6647935398</v>
      </c>
      <c r="O608" s="1">
        <v>161733183.90264601</v>
      </c>
      <c r="P608" s="1">
        <v>199720530.792658</v>
      </c>
      <c r="Q608" s="1">
        <f>STDEV(N608:P608)</f>
        <v>100975068.89441364</v>
      </c>
      <c r="R608" s="1">
        <v>123469529.1200325</v>
      </c>
      <c r="S608" s="1">
        <v>0.15141288097201516</v>
      </c>
    </row>
    <row r="609" spans="1:19" x14ac:dyDescent="0.3">
      <c r="A609" s="1">
        <v>74</v>
      </c>
      <c r="B609" s="1" t="s">
        <v>955</v>
      </c>
      <c r="C609" s="1" t="s">
        <v>956</v>
      </c>
      <c r="D609" s="1">
        <v>9.0410000000000004</v>
      </c>
      <c r="E609" s="1" t="s">
        <v>957</v>
      </c>
      <c r="F609" s="1" t="s">
        <v>958</v>
      </c>
      <c r="G609" s="1">
        <v>346.23390999999998</v>
      </c>
      <c r="H609" s="2">
        <v>396029523.96784103</v>
      </c>
      <c r="I609" s="1" t="s">
        <v>959</v>
      </c>
      <c r="J609" s="1">
        <v>346.46863999999999</v>
      </c>
      <c r="K609" s="1">
        <v>327.21616</v>
      </c>
      <c r="L609" s="7">
        <f>G609-J609</f>
        <v>-0.23473000000001321</v>
      </c>
      <c r="M609" s="1" t="s">
        <v>960</v>
      </c>
      <c r="N609" s="2">
        <v>50935750.166711897</v>
      </c>
      <c r="O609" s="1">
        <v>45096709.985148303</v>
      </c>
      <c r="P609" s="1">
        <v>36536226.338029698</v>
      </c>
      <c r="Q609" s="1">
        <f>STDEV(N609:P609)</f>
        <v>7242496.7726063915</v>
      </c>
      <c r="R609" s="1">
        <v>44189562.163296632</v>
      </c>
      <c r="S609" s="1">
        <v>5.4190446531403577E-2</v>
      </c>
    </row>
    <row r="610" spans="1:19" x14ac:dyDescent="0.3">
      <c r="A610" s="1">
        <v>178</v>
      </c>
      <c r="B610" s="1" t="s">
        <v>1064</v>
      </c>
      <c r="C610" s="1" t="s">
        <v>1065</v>
      </c>
      <c r="D610" s="1">
        <v>1.383</v>
      </c>
      <c r="E610" s="1" t="s">
        <v>1066</v>
      </c>
      <c r="F610" s="1" t="s">
        <v>1067</v>
      </c>
      <c r="G610" s="1">
        <v>285.05972000000003</v>
      </c>
      <c r="H610" s="2">
        <v>52581623.381705202</v>
      </c>
      <c r="I610" s="1" t="s">
        <v>23</v>
      </c>
      <c r="J610" s="1">
        <v>285.2946</v>
      </c>
      <c r="K610" s="1">
        <v>286.06698999999998</v>
      </c>
      <c r="L610" s="7">
        <f>G610-J610</f>
        <v>-0.23487999999997555</v>
      </c>
      <c r="M610" s="1" t="s">
        <v>1068</v>
      </c>
      <c r="N610" s="2">
        <v>33990565.567741297</v>
      </c>
      <c r="O610" s="1">
        <v>26463315.172494601</v>
      </c>
      <c r="P610" s="1">
        <v>52581623.381705202</v>
      </c>
      <c r="Q610" s="1">
        <f>STDEV(N610:P610)</f>
        <v>13444038.039630607</v>
      </c>
      <c r="R610" s="1">
        <v>37678501.373980366</v>
      </c>
      <c r="S610" s="1">
        <v>4.6205816806802587E-2</v>
      </c>
    </row>
    <row r="611" spans="1:19" x14ac:dyDescent="0.3">
      <c r="A611" s="1">
        <v>466</v>
      </c>
      <c r="B611" s="1" t="s">
        <v>4100</v>
      </c>
      <c r="C611" s="1" t="s">
        <v>4101</v>
      </c>
      <c r="D611" s="1">
        <v>10.210000000000001</v>
      </c>
      <c r="E611" s="1" t="s">
        <v>4102</v>
      </c>
      <c r="F611" s="1" t="s">
        <v>4103</v>
      </c>
      <c r="G611" s="1">
        <v>324.13425999999998</v>
      </c>
      <c r="H611" s="2">
        <v>23867270.034524299</v>
      </c>
      <c r="I611" s="1" t="s">
        <v>17</v>
      </c>
      <c r="J611" s="1">
        <v>324.37040000000002</v>
      </c>
      <c r="K611" s="1">
        <v>323.12698</v>
      </c>
      <c r="L611" s="7">
        <f>G611-J611</f>
        <v>-0.23614000000003443</v>
      </c>
      <c r="M611" s="1" t="s">
        <v>4104</v>
      </c>
      <c r="N611" s="2">
        <v>295574.38453769899</v>
      </c>
      <c r="O611" s="1">
        <v>635298.30272885901</v>
      </c>
      <c r="P611" s="1">
        <v>595807.07961982896</v>
      </c>
      <c r="Q611" s="1">
        <f>STDEV(N611:P611)</f>
        <v>185791.80484711021</v>
      </c>
      <c r="R611" s="1">
        <v>508893.25562879565</v>
      </c>
      <c r="S611" s="1">
        <v>6.2406485625353001E-4</v>
      </c>
    </row>
    <row r="612" spans="1:19" x14ac:dyDescent="0.3">
      <c r="A612" s="1">
        <v>238</v>
      </c>
      <c r="B612" s="1" t="s">
        <v>2416</v>
      </c>
      <c r="C612" s="1" t="s">
        <v>2417</v>
      </c>
      <c r="D612" s="1">
        <v>4.2649999999999997</v>
      </c>
      <c r="E612" s="1" t="s">
        <v>2418</v>
      </c>
      <c r="F612" s="1" t="s">
        <v>2419</v>
      </c>
      <c r="G612" s="1">
        <v>329.19664</v>
      </c>
      <c r="H612" s="2">
        <v>189039700.878786</v>
      </c>
      <c r="I612" s="1" t="s">
        <v>23</v>
      </c>
      <c r="J612" s="1">
        <v>329.43328000000002</v>
      </c>
      <c r="K612" s="1">
        <v>330.20391999999998</v>
      </c>
      <c r="L612" s="7">
        <f>G612-J612</f>
        <v>-0.23664000000002261</v>
      </c>
      <c r="M612" s="1" t="s">
        <v>2420</v>
      </c>
      <c r="N612" s="2">
        <v>3137047.2191103599</v>
      </c>
      <c r="O612" s="1">
        <v>4286248.9341345001</v>
      </c>
      <c r="P612" s="1">
        <v>4707236.7996752104</v>
      </c>
      <c r="Q612" s="1">
        <f>STDEV(N612:P612)</f>
        <v>812751.56963462988</v>
      </c>
      <c r="R612" s="1">
        <v>4043510.9843066907</v>
      </c>
      <c r="S612" s="1">
        <v>4.9586294832360475E-3</v>
      </c>
    </row>
    <row r="613" spans="1:19" x14ac:dyDescent="0.3">
      <c r="A613" s="1">
        <v>664</v>
      </c>
      <c r="B613" s="1" t="s">
        <v>3216</v>
      </c>
      <c r="C613" s="1" t="s">
        <v>3217</v>
      </c>
      <c r="D613" s="1">
        <v>11.037000000000001</v>
      </c>
      <c r="E613" s="1" t="s">
        <v>3218</v>
      </c>
      <c r="F613" s="1" t="s">
        <v>3219</v>
      </c>
      <c r="G613" s="1">
        <v>324.13355999999999</v>
      </c>
      <c r="H613" s="2">
        <v>82018019.8724944</v>
      </c>
      <c r="I613" s="1" t="s">
        <v>23</v>
      </c>
      <c r="J613" s="1">
        <v>324.37040000000002</v>
      </c>
      <c r="K613" s="1">
        <v>325.14084000000003</v>
      </c>
      <c r="L613" s="7">
        <f>G613-J613</f>
        <v>-0.23684000000002925</v>
      </c>
      <c r="M613" s="1" t="s">
        <v>3220</v>
      </c>
      <c r="N613" s="2">
        <v>1340956.16604952</v>
      </c>
      <c r="O613" s="1">
        <v>1437357.22408115</v>
      </c>
      <c r="P613" s="1">
        <v>1686277.1202195501</v>
      </c>
      <c r="Q613" s="1">
        <f>STDEV(N613:P613)</f>
        <v>178185.68969480012</v>
      </c>
      <c r="R613" s="1">
        <v>1488196.8367834066</v>
      </c>
      <c r="S613" s="1">
        <v>1.8250022666868346E-3</v>
      </c>
    </row>
    <row r="614" spans="1:19" x14ac:dyDescent="0.3">
      <c r="A614" s="1">
        <v>132</v>
      </c>
      <c r="B614" s="1" t="s">
        <v>2591</v>
      </c>
      <c r="C614" s="1" t="s">
        <v>2592</v>
      </c>
      <c r="D614" s="1">
        <v>1.5629999999999999</v>
      </c>
      <c r="E614" s="1" t="s">
        <v>2593</v>
      </c>
      <c r="F614" s="1" t="s">
        <v>2594</v>
      </c>
      <c r="G614" s="1">
        <v>287.07548000000003</v>
      </c>
      <c r="H614" s="2">
        <v>22866055.788949098</v>
      </c>
      <c r="I614" s="1" t="s">
        <v>17</v>
      </c>
      <c r="J614" s="1">
        <v>287.31531999999999</v>
      </c>
      <c r="K614" s="1">
        <v>286.06821000000002</v>
      </c>
      <c r="L614" s="7">
        <f>G614-J614</f>
        <v>-0.23983999999995831</v>
      </c>
      <c r="M614" s="1" t="s">
        <v>2595</v>
      </c>
      <c r="N614" s="2">
        <v>3988214.3213375402</v>
      </c>
      <c r="O614" s="1">
        <v>2117349.4211575701</v>
      </c>
      <c r="P614" s="1">
        <v>2729494.9968367899</v>
      </c>
      <c r="Q614" s="1">
        <f>STDEV(N614:P614)</f>
        <v>953872.11043730041</v>
      </c>
      <c r="R614" s="1">
        <v>2945019.5797773004</v>
      </c>
      <c r="S614" s="1">
        <v>3.6115299237885123E-3</v>
      </c>
    </row>
    <row r="615" spans="1:19" x14ac:dyDescent="0.3">
      <c r="A615" s="1">
        <v>115</v>
      </c>
      <c r="B615" s="1" t="s">
        <v>2776</v>
      </c>
      <c r="C615" s="1" t="s">
        <v>2777</v>
      </c>
      <c r="D615" s="1">
        <v>3.2320000000000002</v>
      </c>
      <c r="E615" s="1" t="s">
        <v>2778</v>
      </c>
      <c r="F615" s="1" t="s">
        <v>2779</v>
      </c>
      <c r="G615" s="1">
        <v>289.12956000000003</v>
      </c>
      <c r="H615" s="2">
        <v>3569882.0602083402</v>
      </c>
      <c r="I615" s="1" t="s">
        <v>23</v>
      </c>
      <c r="J615" s="1">
        <v>289.36941999999999</v>
      </c>
      <c r="K615" s="1">
        <v>290.13682999999997</v>
      </c>
      <c r="L615" s="7">
        <f>G615-J615</f>
        <v>-0.23985999999996466</v>
      </c>
      <c r="M615" s="1" t="s">
        <v>24</v>
      </c>
      <c r="N615" s="2">
        <v>3569882.0602083402</v>
      </c>
      <c r="O615" s="1">
        <v>2820079.4280173401</v>
      </c>
      <c r="P615" s="1">
        <v>1136725.0377769801</v>
      </c>
      <c r="Q615" s="1">
        <f>STDEV(N615:P615)</f>
        <v>1246069.7603658398</v>
      </c>
      <c r="R615" s="1">
        <v>2508895.5086675533</v>
      </c>
      <c r="S615" s="1">
        <v>3.0767032135985495E-3</v>
      </c>
    </row>
    <row r="616" spans="1:19" x14ac:dyDescent="0.3">
      <c r="A616" s="1">
        <v>968</v>
      </c>
      <c r="B616" s="1" t="s">
        <v>1532</v>
      </c>
      <c r="C616" s="1" t="s">
        <v>1533</v>
      </c>
      <c r="D616" s="1">
        <v>10.755000000000001</v>
      </c>
      <c r="E616" s="1" t="s">
        <v>1534</v>
      </c>
      <c r="F616" s="1" t="s">
        <v>1535</v>
      </c>
      <c r="G616" s="1">
        <v>332.19405</v>
      </c>
      <c r="H616" s="2">
        <v>86141581.523506403</v>
      </c>
      <c r="I616" s="1" t="s">
        <v>23</v>
      </c>
      <c r="J616" s="1">
        <v>332.43392</v>
      </c>
      <c r="K616" s="1">
        <v>333.20132000000001</v>
      </c>
      <c r="L616" s="7">
        <f>G616-J616</f>
        <v>-0.23986999999999625</v>
      </c>
      <c r="M616" s="1" t="s">
        <v>1536</v>
      </c>
      <c r="N616" s="2">
        <v>28841165.109154198</v>
      </c>
      <c r="O616" s="1">
        <v>11147523.4071918</v>
      </c>
      <c r="P616" s="1">
        <v>3978038.40286492</v>
      </c>
      <c r="Q616" s="1">
        <f>STDEV(N616:P616)</f>
        <v>12797405.606330827</v>
      </c>
      <c r="R616" s="1">
        <v>14655575.639736973</v>
      </c>
      <c r="S616" s="1">
        <v>1.7972393235245823E-2</v>
      </c>
    </row>
    <row r="617" spans="1:19" x14ac:dyDescent="0.3">
      <c r="A617" s="1">
        <v>305</v>
      </c>
      <c r="B617" s="1" t="s">
        <v>2285</v>
      </c>
      <c r="C617" s="1" t="s">
        <v>2286</v>
      </c>
      <c r="D617" s="1">
        <v>0.53200000000000003</v>
      </c>
      <c r="E617" s="1" t="s">
        <v>2287</v>
      </c>
      <c r="F617" s="1" t="s">
        <v>2288</v>
      </c>
      <c r="G617" s="1">
        <v>263.13501000000002</v>
      </c>
      <c r="H617" s="2">
        <v>8544773.5179415308</v>
      </c>
      <c r="I617" s="1" t="s">
        <v>23</v>
      </c>
      <c r="J617" s="1">
        <v>263.37520000000001</v>
      </c>
      <c r="K617" s="1">
        <v>264.14229</v>
      </c>
      <c r="L617" s="7">
        <f>G617-J617</f>
        <v>-0.24018999999998414</v>
      </c>
      <c r="M617" s="1" t="s">
        <v>24</v>
      </c>
      <c r="N617" s="2">
        <v>8544773.5179415308</v>
      </c>
      <c r="O617" s="1">
        <v>3081346.18262034</v>
      </c>
      <c r="P617" s="1">
        <v>3137230.03480257</v>
      </c>
      <c r="Q617" s="1">
        <f>STDEV(N617:P617)</f>
        <v>3138303.3573176702</v>
      </c>
      <c r="R617" s="1">
        <v>4921116.5784548139</v>
      </c>
      <c r="S617" s="1">
        <v>6.0348528422637044E-3</v>
      </c>
    </row>
    <row r="618" spans="1:19" x14ac:dyDescent="0.3">
      <c r="A618" s="1">
        <v>275</v>
      </c>
      <c r="B618" s="1" t="s">
        <v>2897</v>
      </c>
      <c r="C618" s="1" t="s">
        <v>2898</v>
      </c>
      <c r="D618" s="1">
        <v>1.915</v>
      </c>
      <c r="E618" s="1" t="s">
        <v>2899</v>
      </c>
      <c r="F618" s="1" t="s">
        <v>2900</v>
      </c>
      <c r="G618" s="1">
        <v>263.13477999999998</v>
      </c>
      <c r="H618" s="2">
        <v>4828144.6783302603</v>
      </c>
      <c r="I618" s="1" t="s">
        <v>23</v>
      </c>
      <c r="J618" s="1">
        <v>263.37520000000001</v>
      </c>
      <c r="K618" s="1">
        <v>264.14206000000001</v>
      </c>
      <c r="L618" s="7">
        <f>G618-J618</f>
        <v>-0.24042000000002872</v>
      </c>
      <c r="M618" s="1" t="s">
        <v>2901</v>
      </c>
      <c r="N618" s="2">
        <v>556308.676328248</v>
      </c>
      <c r="O618" s="1">
        <v>1063326.75024715</v>
      </c>
      <c r="P618" s="1">
        <v>4828144.6783302603</v>
      </c>
      <c r="Q618" s="1">
        <f>STDEV(N618:P618)</f>
        <v>2333791.7711632918</v>
      </c>
      <c r="R618" s="1">
        <v>2149260.0349685526</v>
      </c>
      <c r="S618" s="1">
        <v>2.6356758316963846E-3</v>
      </c>
    </row>
    <row r="619" spans="1:19" x14ac:dyDescent="0.3">
      <c r="A619" s="1">
        <v>434</v>
      </c>
      <c r="B619" s="1" t="s">
        <v>1689</v>
      </c>
      <c r="C619" s="1" t="s">
        <v>1690</v>
      </c>
      <c r="D619" s="1">
        <v>0.88600000000000001</v>
      </c>
      <c r="E619" s="1" t="s">
        <v>1691</v>
      </c>
      <c r="F619" s="1" t="s">
        <v>1692</v>
      </c>
      <c r="G619" s="1">
        <v>281.06524000000002</v>
      </c>
      <c r="H619" s="2">
        <v>18422053.746100299</v>
      </c>
      <c r="I619" s="1" t="s">
        <v>17</v>
      </c>
      <c r="J619" s="1">
        <v>281.30590000000001</v>
      </c>
      <c r="K619" s="1">
        <v>280.05795000000001</v>
      </c>
      <c r="L619" s="7">
        <f>G619-J619</f>
        <v>-0.24065999999999121</v>
      </c>
      <c r="M619" s="1" t="s">
        <v>1693</v>
      </c>
      <c r="N619" s="2">
        <v>14233870.5962565</v>
      </c>
      <c r="O619" s="1">
        <v>656229.25135749497</v>
      </c>
      <c r="P619" s="1">
        <v>18422053.746100299</v>
      </c>
      <c r="Q619" s="1">
        <f>STDEV(N619:P619)</f>
        <v>9287247.013740126</v>
      </c>
      <c r="R619" s="1">
        <v>11104051.197904766</v>
      </c>
      <c r="S619" s="1">
        <v>1.3617095605029987E-2</v>
      </c>
    </row>
    <row r="620" spans="1:19" x14ac:dyDescent="0.3">
      <c r="A620" s="1">
        <v>35</v>
      </c>
      <c r="B620" s="1" t="s">
        <v>1248</v>
      </c>
      <c r="C620" s="1" t="s">
        <v>1249</v>
      </c>
      <c r="D620" s="1">
        <v>0.18099999999999999</v>
      </c>
      <c r="E620" s="1" t="s">
        <v>1250</v>
      </c>
      <c r="F620" s="1" t="s">
        <v>1251</v>
      </c>
      <c r="G620" s="1">
        <v>326.1918</v>
      </c>
      <c r="H620" s="2">
        <v>54891834.010908403</v>
      </c>
      <c r="I620" s="1" t="s">
        <v>23</v>
      </c>
      <c r="J620" s="1">
        <v>326.43263999999999</v>
      </c>
      <c r="K620" s="1">
        <v>327.19907999999998</v>
      </c>
      <c r="L620" s="7">
        <f>G620-J620</f>
        <v>-0.24083999999999151</v>
      </c>
      <c r="M620" s="1" t="s">
        <v>1252</v>
      </c>
      <c r="N620" s="2">
        <v>3512583.2777791698</v>
      </c>
      <c r="O620" s="1">
        <v>23190811.689700998</v>
      </c>
      <c r="P620" s="1">
        <v>54891834.010908403</v>
      </c>
      <c r="Q620" s="1">
        <f>STDEV(N620:P620)</f>
        <v>25923010.6775789</v>
      </c>
      <c r="R620" s="1">
        <v>27198409.659462858</v>
      </c>
      <c r="S620" s="1">
        <v>3.3353893820983201E-2</v>
      </c>
    </row>
    <row r="621" spans="1:19" x14ac:dyDescent="0.3">
      <c r="A621" s="1">
        <v>318</v>
      </c>
      <c r="B621" s="1" t="s">
        <v>1472</v>
      </c>
      <c r="C621" s="1" t="s">
        <v>1473</v>
      </c>
      <c r="D621" s="1">
        <v>0.63100000000000001</v>
      </c>
      <c r="E621" s="1" t="s">
        <v>1474</v>
      </c>
      <c r="F621" s="1" t="s">
        <v>1475</v>
      </c>
      <c r="G621" s="1">
        <v>183.04947999999999</v>
      </c>
      <c r="H621" s="2">
        <v>23712904.815212</v>
      </c>
      <c r="I621" s="1" t="s">
        <v>1209</v>
      </c>
      <c r="J621" s="1">
        <v>183.29053999999999</v>
      </c>
      <c r="K621" s="1">
        <v>167.03044</v>
      </c>
      <c r="L621" s="7">
        <f>G621-J621</f>
        <v>-0.24106000000000449</v>
      </c>
      <c r="M621" s="1" t="s">
        <v>1476</v>
      </c>
      <c r="N621" s="2">
        <v>19593209.631558999</v>
      </c>
      <c r="O621" s="1">
        <v>3297123.9598835101</v>
      </c>
      <c r="P621" s="1">
        <v>23712904.815212</v>
      </c>
      <c r="Q621" s="1">
        <f>STDEV(N621:P621)</f>
        <v>10796128.971052529</v>
      </c>
      <c r="R621" s="1">
        <v>15534412.802218169</v>
      </c>
      <c r="S621" s="1">
        <v>1.9050126888438795E-2</v>
      </c>
    </row>
    <row r="622" spans="1:19" x14ac:dyDescent="0.3">
      <c r="A622" s="1">
        <v>785</v>
      </c>
      <c r="B622" s="1" t="s">
        <v>1790</v>
      </c>
      <c r="C622" s="1" t="s">
        <v>1791</v>
      </c>
      <c r="D622" s="1">
        <v>13.725</v>
      </c>
      <c r="E622" s="1" t="s">
        <v>1792</v>
      </c>
      <c r="F622" s="1" t="s">
        <v>1793</v>
      </c>
      <c r="G622" s="1">
        <v>516.38201000000004</v>
      </c>
      <c r="H622" s="2">
        <v>169703254.314318</v>
      </c>
      <c r="I622" s="1" t="s">
        <v>23</v>
      </c>
      <c r="J622" s="1">
        <v>516.62310000000002</v>
      </c>
      <c r="K622" s="1">
        <v>517.38927999999999</v>
      </c>
      <c r="L622" s="7">
        <f>G622-J622</f>
        <v>-0.24108999999998559</v>
      </c>
      <c r="M622" s="1" t="s">
        <v>1794</v>
      </c>
      <c r="N622" s="2">
        <v>2539436.2935698801</v>
      </c>
      <c r="O622" s="1">
        <v>3777751.1393864201</v>
      </c>
      <c r="P622" s="1">
        <v>22511973.231778398</v>
      </c>
      <c r="Q622" s="1">
        <f>STDEV(N622:P622)</f>
        <v>11190820.142811555</v>
      </c>
      <c r="R622" s="1">
        <v>9609720.2215782329</v>
      </c>
      <c r="S622" s="1">
        <v>1.1784570933850899E-2</v>
      </c>
    </row>
    <row r="623" spans="1:19" x14ac:dyDescent="0.3">
      <c r="A623" s="1">
        <v>400</v>
      </c>
      <c r="B623" s="1" t="s">
        <v>3602</v>
      </c>
      <c r="C623" s="1" t="s">
        <v>3603</v>
      </c>
      <c r="D623" s="1">
        <v>3.3769999999999998</v>
      </c>
      <c r="E623" s="1" t="s">
        <v>3604</v>
      </c>
      <c r="F623" s="1" t="s">
        <v>3605</v>
      </c>
      <c r="G623" s="1">
        <v>219.03842</v>
      </c>
      <c r="H623" s="2">
        <v>92783969.316259295</v>
      </c>
      <c r="I623" s="1" t="s">
        <v>3606</v>
      </c>
      <c r="J623" s="1">
        <v>219.27958000000001</v>
      </c>
      <c r="K623" s="1">
        <v>483.07501000000002</v>
      </c>
      <c r="L623" s="7">
        <f>G623-J623</f>
        <v>-0.24116000000000781</v>
      </c>
      <c r="M623" s="1" t="s">
        <v>3607</v>
      </c>
      <c r="N623" s="2">
        <v>763339.54860966699</v>
      </c>
      <c r="O623" s="1">
        <v>977964.02520544105</v>
      </c>
      <c r="P623" s="1">
        <v>1024222.09111582</v>
      </c>
      <c r="Q623" s="1">
        <f>STDEV(N623:P623)</f>
        <v>139201.99687280256</v>
      </c>
      <c r="R623" s="1">
        <v>921841.88831030938</v>
      </c>
      <c r="S623" s="1">
        <v>1.130471113840997E-3</v>
      </c>
    </row>
    <row r="624" spans="1:19" x14ac:dyDescent="0.3">
      <c r="A624" s="1">
        <v>733</v>
      </c>
      <c r="B624" s="1" t="s">
        <v>3956</v>
      </c>
      <c r="C624" s="1" t="s">
        <v>3957</v>
      </c>
      <c r="D624" s="1">
        <v>14.936999999999999</v>
      </c>
      <c r="E624" s="1" t="s">
        <v>3958</v>
      </c>
      <c r="F624" s="1" t="s">
        <v>3959</v>
      </c>
      <c r="G624" s="1">
        <v>560.47643000000005</v>
      </c>
      <c r="H624" s="2">
        <v>9899334.2847771402</v>
      </c>
      <c r="I624" s="1" t="s">
        <v>23</v>
      </c>
      <c r="J624" s="1">
        <v>560.71871999999996</v>
      </c>
      <c r="K624" s="1">
        <v>561.4837</v>
      </c>
      <c r="L624" s="7">
        <f>G624-J624</f>
        <v>-0.24228999999991174</v>
      </c>
      <c r="M624" s="1" t="s">
        <v>3960</v>
      </c>
      <c r="N624" s="2">
        <v>626271.93984677398</v>
      </c>
      <c r="O624" s="1">
        <v>692202.36995892006</v>
      </c>
      <c r="P624" s="1">
        <v>593386.64734817704</v>
      </c>
      <c r="Q624" s="1">
        <f>STDEV(N624:P624)</f>
        <v>50320.325768311828</v>
      </c>
      <c r="R624" s="1">
        <v>637286.98571795702</v>
      </c>
      <c r="S624" s="1">
        <v>7.8151637251098604E-4</v>
      </c>
    </row>
    <row r="625" spans="1:19" x14ac:dyDescent="0.3">
      <c r="A625" s="1">
        <v>285</v>
      </c>
      <c r="B625" s="1" t="s">
        <v>2321</v>
      </c>
      <c r="C625" s="1" t="s">
        <v>2322</v>
      </c>
      <c r="D625" s="1">
        <v>1.117</v>
      </c>
      <c r="E625" s="1" t="s">
        <v>2323</v>
      </c>
      <c r="F625" s="1" t="s">
        <v>2324</v>
      </c>
      <c r="G625" s="1">
        <v>291.14080999999999</v>
      </c>
      <c r="H625" s="2">
        <v>21269690.467181701</v>
      </c>
      <c r="I625" s="1" t="s">
        <v>156</v>
      </c>
      <c r="J625" s="1">
        <v>291.38529999999997</v>
      </c>
      <c r="K625" s="1">
        <v>274.13763</v>
      </c>
      <c r="L625" s="7">
        <f>G625-J625</f>
        <v>-0.24448999999998478</v>
      </c>
      <c r="M625" s="1" t="s">
        <v>24</v>
      </c>
      <c r="N625" s="2">
        <v>9220958.8704503905</v>
      </c>
      <c r="O625" s="1">
        <v>2439710.3739548698</v>
      </c>
      <c r="P625" s="1">
        <v>2534977.1445916202</v>
      </c>
      <c r="Q625" s="1">
        <f>STDEV(N625:P625)</f>
        <v>3887946.2995118587</v>
      </c>
      <c r="R625" s="1">
        <v>4731882.1296656271</v>
      </c>
      <c r="S625" s="1">
        <v>5.8027912698698616E-3</v>
      </c>
    </row>
    <row r="626" spans="1:19" x14ac:dyDescent="0.3">
      <c r="A626" s="1">
        <v>723</v>
      </c>
      <c r="B626" s="1" t="s">
        <v>1051</v>
      </c>
      <c r="C626" s="1" t="s">
        <v>1052</v>
      </c>
      <c r="D626" s="1">
        <v>11.052</v>
      </c>
      <c r="E626" s="1" t="s">
        <v>1053</v>
      </c>
      <c r="F626" s="1" t="s">
        <v>1054</v>
      </c>
      <c r="G626" s="1">
        <v>362.17230000000001</v>
      </c>
      <c r="H626" s="2">
        <v>63988970.664410301</v>
      </c>
      <c r="I626" s="1" t="s">
        <v>17</v>
      </c>
      <c r="J626" s="1">
        <v>362.41683999999998</v>
      </c>
      <c r="K626" s="1">
        <v>361.16502000000003</v>
      </c>
      <c r="L626" s="7">
        <f>G626-J626</f>
        <v>-0.24453999999997222</v>
      </c>
      <c r="M626" s="1" t="s">
        <v>902</v>
      </c>
      <c r="N626" s="2">
        <v>8202941.33740291</v>
      </c>
      <c r="O626" s="1">
        <v>41654328.504590198</v>
      </c>
      <c r="P626" s="1">
        <v>63988970.664410301</v>
      </c>
      <c r="Q626" s="1">
        <f>STDEV(N626:P626)</f>
        <v>28077014.952596612</v>
      </c>
      <c r="R626" s="1">
        <v>37948746.835467808</v>
      </c>
      <c r="S626" s="1">
        <v>4.6537223625837634E-2</v>
      </c>
    </row>
    <row r="627" spans="1:19" x14ac:dyDescent="0.3">
      <c r="A627" s="1">
        <v>116</v>
      </c>
      <c r="B627" s="1" t="s">
        <v>2021</v>
      </c>
      <c r="C627" s="1" t="s">
        <v>2022</v>
      </c>
      <c r="D627" s="1">
        <v>0.66900000000000004</v>
      </c>
      <c r="E627" s="1" t="s">
        <v>2023</v>
      </c>
      <c r="F627" s="1" t="s">
        <v>2024</v>
      </c>
      <c r="G627" s="1">
        <v>291.14076</v>
      </c>
      <c r="H627" s="2">
        <v>12887123.1920585</v>
      </c>
      <c r="I627" s="1" t="s">
        <v>156</v>
      </c>
      <c r="J627" s="1">
        <v>291.38529999999997</v>
      </c>
      <c r="K627" s="1">
        <v>274.13751000000002</v>
      </c>
      <c r="L627" s="7">
        <f>G627-J627</f>
        <v>-0.24453999999997222</v>
      </c>
      <c r="M627" s="1" t="s">
        <v>24</v>
      </c>
      <c r="N627" s="2">
        <v>9220958.8704503905</v>
      </c>
      <c r="O627" s="1">
        <v>6339301.5014276598</v>
      </c>
      <c r="P627" s="1">
        <v>6183001.2593296897</v>
      </c>
      <c r="Q627" s="1">
        <f>STDEV(N627:P627)</f>
        <v>1710631.7256639933</v>
      </c>
      <c r="R627" s="1">
        <v>7247753.877069247</v>
      </c>
      <c r="S627" s="1">
        <v>8.8880495691879766E-3</v>
      </c>
    </row>
    <row r="628" spans="1:19" x14ac:dyDescent="0.3">
      <c r="A628" s="1">
        <v>209</v>
      </c>
      <c r="B628" s="1" t="s">
        <v>3469</v>
      </c>
      <c r="C628" s="1" t="s">
        <v>3470</v>
      </c>
      <c r="D628" s="1">
        <v>14.545</v>
      </c>
      <c r="E628" s="1" t="s">
        <v>3471</v>
      </c>
      <c r="F628" s="1" t="s">
        <v>3472</v>
      </c>
      <c r="G628" s="1">
        <v>541.43059000000005</v>
      </c>
      <c r="H628" s="2">
        <v>16324326.798115401</v>
      </c>
      <c r="I628" s="1" t="s">
        <v>23</v>
      </c>
      <c r="J628" s="1">
        <v>541.67561999999998</v>
      </c>
      <c r="K628" s="1">
        <v>542.43786999999998</v>
      </c>
      <c r="L628" s="7">
        <f>G628-J628</f>
        <v>-0.2450299999999288</v>
      </c>
      <c r="M628" s="1" t="s">
        <v>24</v>
      </c>
      <c r="N628" s="2">
        <v>1123247.7754561701</v>
      </c>
      <c r="O628" s="1">
        <v>1192264.9312304701</v>
      </c>
      <c r="P628" s="1">
        <v>980255.39075525396</v>
      </c>
      <c r="Q628" s="1">
        <f>STDEV(N628:P628)</f>
        <v>108134.35711044932</v>
      </c>
      <c r="R628" s="1">
        <v>1098589.3658139647</v>
      </c>
      <c r="S628" s="1">
        <v>1.347219691114245E-3</v>
      </c>
    </row>
    <row r="629" spans="1:19" x14ac:dyDescent="0.3">
      <c r="A629" s="1">
        <v>502</v>
      </c>
      <c r="B629" s="1" t="s">
        <v>3492</v>
      </c>
      <c r="C629" s="1" t="s">
        <v>3493</v>
      </c>
      <c r="D629" s="1">
        <v>1.8360000000000001</v>
      </c>
      <c r="E629" s="1" t="s">
        <v>3494</v>
      </c>
      <c r="F629" s="1" t="s">
        <v>3495</v>
      </c>
      <c r="G629" s="1">
        <v>230.01268999999999</v>
      </c>
      <c r="H629" s="2">
        <v>2419051.46703638</v>
      </c>
      <c r="I629" s="1" t="s">
        <v>23</v>
      </c>
      <c r="J629" s="1">
        <v>230.25916000000001</v>
      </c>
      <c r="K629" s="1">
        <v>231.01996</v>
      </c>
      <c r="L629" s="7">
        <f>G629-J629</f>
        <v>-0.2464700000000164</v>
      </c>
      <c r="M629" s="1" t="s">
        <v>3496</v>
      </c>
      <c r="N629" s="2">
        <v>863282.21892029501</v>
      </c>
      <c r="O629" s="1">
        <v>1114968.0320716701</v>
      </c>
      <c r="P629" s="1">
        <v>1186325.4162107201</v>
      </c>
      <c r="Q629" s="1">
        <f>STDEV(N629:P629)</f>
        <v>169702.9424850271</v>
      </c>
      <c r="R629" s="1">
        <v>1054858.5557342283</v>
      </c>
      <c r="S629" s="1">
        <v>1.2935918204274148E-3</v>
      </c>
    </row>
    <row r="630" spans="1:19" x14ac:dyDescent="0.3">
      <c r="A630" s="1">
        <v>289</v>
      </c>
      <c r="B630" s="1" t="s">
        <v>3552</v>
      </c>
      <c r="C630" s="1" t="s">
        <v>3553</v>
      </c>
      <c r="D630" s="1">
        <v>11.696</v>
      </c>
      <c r="E630" s="1" t="s">
        <v>3554</v>
      </c>
      <c r="F630" s="1" t="s">
        <v>3555</v>
      </c>
      <c r="G630" s="1">
        <v>274.15348999999998</v>
      </c>
      <c r="H630" s="2">
        <v>2365757.9262444298</v>
      </c>
      <c r="I630" s="1" t="s">
        <v>156</v>
      </c>
      <c r="J630" s="1">
        <v>274.40114</v>
      </c>
      <c r="K630" s="1">
        <v>257.1499</v>
      </c>
      <c r="L630" s="7">
        <f>G630-J630</f>
        <v>-0.24765000000002146</v>
      </c>
      <c r="M630" s="1" t="s">
        <v>24</v>
      </c>
      <c r="N630" s="2">
        <v>543291.01776561502</v>
      </c>
      <c r="O630" s="1">
        <v>1607611.4581599799</v>
      </c>
      <c r="P630" s="1">
        <v>744537.88909263001</v>
      </c>
      <c r="Q630" s="1">
        <f>STDEV(N630:P630)</f>
        <v>565416.40830494987</v>
      </c>
      <c r="R630" s="1">
        <v>965146.78833940846</v>
      </c>
      <c r="S630" s="1">
        <v>1.1835766834527237E-3</v>
      </c>
    </row>
    <row r="631" spans="1:19" x14ac:dyDescent="0.3">
      <c r="A631" s="1">
        <v>399</v>
      </c>
      <c r="B631" s="1" t="s">
        <v>312</v>
      </c>
      <c r="C631" s="1" t="s">
        <v>313</v>
      </c>
      <c r="D631" s="1">
        <v>0.70699999999999996</v>
      </c>
      <c r="E631" s="1" t="s">
        <v>314</v>
      </c>
      <c r="F631" s="1" t="s">
        <v>315</v>
      </c>
      <c r="G631" s="1">
        <v>291.09408000000002</v>
      </c>
      <c r="H631" s="2">
        <v>197362396.79043099</v>
      </c>
      <c r="I631" s="1" t="s">
        <v>17</v>
      </c>
      <c r="J631" s="1">
        <v>291.34224</v>
      </c>
      <c r="K631" s="1">
        <v>290.08681000000001</v>
      </c>
      <c r="L631" s="7">
        <f>G631-J631</f>
        <v>-0.24815999999998439</v>
      </c>
      <c r="M631" s="1" t="s">
        <v>277</v>
      </c>
      <c r="N631" s="2">
        <v>174411698.5167</v>
      </c>
      <c r="O631" s="1">
        <v>172013615.25659701</v>
      </c>
      <c r="P631" s="1">
        <v>197362396.79043099</v>
      </c>
      <c r="Q631" s="1">
        <f>STDEV(N631:P631)</f>
        <v>13994320.7517923</v>
      </c>
      <c r="R631" s="1">
        <v>181262570.18790933</v>
      </c>
      <c r="S631" s="1">
        <v>0.22228551578796396</v>
      </c>
    </row>
    <row r="632" spans="1:19" x14ac:dyDescent="0.3">
      <c r="A632" s="1">
        <v>802</v>
      </c>
      <c r="B632" s="1" t="s">
        <v>3006</v>
      </c>
      <c r="C632" s="1" t="s">
        <v>3007</v>
      </c>
      <c r="D632" s="1">
        <v>7.0419999999999998</v>
      </c>
      <c r="E632" s="1" t="s">
        <v>3008</v>
      </c>
      <c r="F632" s="1" t="s">
        <v>3009</v>
      </c>
      <c r="G632" s="1">
        <v>496.38382000000001</v>
      </c>
      <c r="H632" s="2">
        <v>175072794.71038401</v>
      </c>
      <c r="I632" s="1" t="s">
        <v>290</v>
      </c>
      <c r="J632" s="1">
        <v>496.63346000000001</v>
      </c>
      <c r="K632" s="1">
        <v>249.19923</v>
      </c>
      <c r="L632" s="7">
        <f>G632-J632</f>
        <v>-0.24963999999999942</v>
      </c>
      <c r="M632" s="1" t="s">
        <v>3010</v>
      </c>
      <c r="N632" s="2">
        <v>1553693.2090372399</v>
      </c>
      <c r="O632" s="1">
        <v>1863364.5078549599</v>
      </c>
      <c r="P632" s="1">
        <v>2334978.1483385698</v>
      </c>
      <c r="Q632" s="1">
        <f>STDEV(N632:P632)</f>
        <v>393429.76831550384</v>
      </c>
      <c r="R632" s="1">
        <v>1917345.2884102564</v>
      </c>
      <c r="S632" s="1">
        <v>2.3512746505584131E-3</v>
      </c>
    </row>
    <row r="633" spans="1:19" x14ac:dyDescent="0.3">
      <c r="A633" s="1">
        <v>88</v>
      </c>
      <c r="B633" s="1" t="s">
        <v>186</v>
      </c>
      <c r="C633" s="1" t="s">
        <v>187</v>
      </c>
      <c r="D633" s="1">
        <v>13.145</v>
      </c>
      <c r="E633" s="1" t="s">
        <v>188</v>
      </c>
      <c r="F633" s="1" t="s">
        <v>189</v>
      </c>
      <c r="G633" s="1">
        <v>547.39508999999998</v>
      </c>
      <c r="H633" s="2">
        <v>418998900.11811602</v>
      </c>
      <c r="I633" s="1" t="s">
        <v>23</v>
      </c>
      <c r="J633" s="1">
        <v>547.64527999999996</v>
      </c>
      <c r="K633" s="1">
        <v>548.40236000000004</v>
      </c>
      <c r="L633" s="7">
        <f>G633-J633</f>
        <v>-0.25018999999997504</v>
      </c>
      <c r="M633" s="1" t="s">
        <v>190</v>
      </c>
      <c r="N633" s="2">
        <v>286175574.610645</v>
      </c>
      <c r="O633" s="1">
        <v>418998900.11811602</v>
      </c>
      <c r="P633" s="1">
        <v>362932022.29442698</v>
      </c>
      <c r="Q633" s="1">
        <f>STDEV(N633:P633)</f>
        <v>66679685.623126209</v>
      </c>
      <c r="R633" s="1">
        <v>356035499.00772929</v>
      </c>
      <c r="S633" s="1">
        <v>0.43661266886878319</v>
      </c>
    </row>
    <row r="634" spans="1:19" x14ac:dyDescent="0.3">
      <c r="A634" s="1">
        <v>284</v>
      </c>
      <c r="B634" s="1" t="s">
        <v>335</v>
      </c>
      <c r="C634" s="1" t="s">
        <v>336</v>
      </c>
      <c r="D634" s="1">
        <v>0.72699999999999998</v>
      </c>
      <c r="E634" s="1" t="s">
        <v>337</v>
      </c>
      <c r="F634" s="1" t="s">
        <v>338</v>
      </c>
      <c r="G634" s="1">
        <v>275.13484</v>
      </c>
      <c r="H634" s="2">
        <v>187502017.348023</v>
      </c>
      <c r="I634" s="1" t="s">
        <v>23</v>
      </c>
      <c r="J634" s="1">
        <v>275.38589999999999</v>
      </c>
      <c r="K634" s="1">
        <v>276.14211999999998</v>
      </c>
      <c r="L634" s="7">
        <f>G634-J634</f>
        <v>-0.2510599999999954</v>
      </c>
      <c r="M634" s="1" t="s">
        <v>339</v>
      </c>
      <c r="N634" s="2">
        <v>122391735.192945</v>
      </c>
      <c r="O634" s="1">
        <v>152828380.55283499</v>
      </c>
      <c r="P634" s="1">
        <v>187502017.348023</v>
      </c>
      <c r="Q634" s="1">
        <f>STDEV(N634:P634)</f>
        <v>32578109.500302501</v>
      </c>
      <c r="R634" s="1">
        <v>154240711.03126767</v>
      </c>
      <c r="S634" s="1">
        <v>0.18914812899069533</v>
      </c>
    </row>
    <row r="635" spans="1:19" x14ac:dyDescent="0.3">
      <c r="A635" s="1">
        <v>301</v>
      </c>
      <c r="B635" s="1" t="s">
        <v>4004</v>
      </c>
      <c r="C635" s="1" t="s">
        <v>4005</v>
      </c>
      <c r="D635" s="1">
        <v>14.827999999999999</v>
      </c>
      <c r="E635" s="1" t="s">
        <v>4006</v>
      </c>
      <c r="F635" s="1" t="s">
        <v>4007</v>
      </c>
      <c r="G635" s="1">
        <v>865.62077999999997</v>
      </c>
      <c r="H635" s="2">
        <v>57402751.138062201</v>
      </c>
      <c r="I635" s="1" t="s">
        <v>23</v>
      </c>
      <c r="J635" s="1">
        <v>865.87224000000003</v>
      </c>
      <c r="K635" s="1">
        <v>866.62805000000003</v>
      </c>
      <c r="L635" s="7">
        <f>G635-J635</f>
        <v>-0.25146000000006552</v>
      </c>
      <c r="M635" s="1" t="s">
        <v>4008</v>
      </c>
      <c r="N635" s="2">
        <v>630588.66748621396</v>
      </c>
      <c r="O635" s="1">
        <v>676382.30787221703</v>
      </c>
      <c r="P635" s="1">
        <v>504438.35214855702</v>
      </c>
      <c r="Q635" s="1">
        <f>STDEV(N635:P635)</f>
        <v>89046.507950894505</v>
      </c>
      <c r="R635" s="1">
        <v>603803.10916899599</v>
      </c>
      <c r="S635" s="1">
        <v>7.4045449877968897E-4</v>
      </c>
    </row>
    <row r="636" spans="1:19" x14ac:dyDescent="0.3">
      <c r="A636" s="1">
        <v>288</v>
      </c>
      <c r="B636" s="1" t="s">
        <v>3826</v>
      </c>
      <c r="C636" s="1" t="s">
        <v>3827</v>
      </c>
      <c r="D636" s="1">
        <v>7.68</v>
      </c>
      <c r="E636" s="1" t="s">
        <v>3828</v>
      </c>
      <c r="F636" s="1" t="s">
        <v>3829</v>
      </c>
      <c r="G636" s="1">
        <v>331.19722000000002</v>
      </c>
      <c r="H636" s="2">
        <v>5815835.3003956601</v>
      </c>
      <c r="I636" s="1" t="s">
        <v>23</v>
      </c>
      <c r="J636" s="1">
        <v>331.44916000000001</v>
      </c>
      <c r="K636" s="1">
        <v>332.2045</v>
      </c>
      <c r="L636" s="7">
        <f>G636-J636</f>
        <v>-0.2519399999999905</v>
      </c>
      <c r="M636" s="1" t="s">
        <v>24</v>
      </c>
      <c r="N636" s="2">
        <v>584134.015250433</v>
      </c>
      <c r="O636" s="1">
        <v>794982.19470264902</v>
      </c>
      <c r="P636" s="1">
        <v>826879.79714126396</v>
      </c>
      <c r="Q636" s="1">
        <f>STDEV(N636:P636)</f>
        <v>131909.01311474515</v>
      </c>
      <c r="R636" s="1">
        <v>735332.00236478203</v>
      </c>
      <c r="S636" s="1">
        <v>9.0175072135192903E-4</v>
      </c>
    </row>
    <row r="637" spans="1:19" x14ac:dyDescent="0.3">
      <c r="A637" s="1">
        <v>258</v>
      </c>
      <c r="B637" s="1" t="s">
        <v>2512</v>
      </c>
      <c r="C637" s="1" t="s">
        <v>2513</v>
      </c>
      <c r="D637" s="1">
        <v>6.2619999999999996</v>
      </c>
      <c r="E637" s="1" t="s">
        <v>2514</v>
      </c>
      <c r="F637" s="1" t="s">
        <v>2515</v>
      </c>
      <c r="G637" s="1">
        <v>357.23365999999999</v>
      </c>
      <c r="H637" s="2">
        <v>9949136.7094576098</v>
      </c>
      <c r="I637" s="1" t="s">
        <v>23</v>
      </c>
      <c r="J637" s="1">
        <v>357.48644000000002</v>
      </c>
      <c r="K637" s="1">
        <v>358.24094000000002</v>
      </c>
      <c r="L637" s="7">
        <f>G637-J637</f>
        <v>-0.25278000000002976</v>
      </c>
      <c r="M637" s="1" t="s">
        <v>2516</v>
      </c>
      <c r="N637" s="2">
        <v>862625.86524615495</v>
      </c>
      <c r="O637" s="1">
        <v>4683957.3465437097</v>
      </c>
      <c r="P637" s="1">
        <v>4929355.7734853299</v>
      </c>
      <c r="Q637" s="1">
        <f>STDEV(N637:P637)</f>
        <v>2280390.566857215</v>
      </c>
      <c r="R637" s="1">
        <v>3491979.6617583982</v>
      </c>
      <c r="S637" s="1">
        <v>4.2822768066808591E-3</v>
      </c>
    </row>
    <row r="638" spans="1:19" x14ac:dyDescent="0.3">
      <c r="A638" s="1">
        <v>997</v>
      </c>
      <c r="B638" s="1" t="s">
        <v>3757</v>
      </c>
      <c r="C638" s="1" t="s">
        <v>3758</v>
      </c>
      <c r="D638" s="1">
        <v>9.7720000000000002</v>
      </c>
      <c r="E638" s="1"/>
      <c r="F638" s="1" t="s">
        <v>3759</v>
      </c>
      <c r="G638" s="1">
        <v>364.18648000000002</v>
      </c>
      <c r="H638" s="2">
        <v>324154519.731103</v>
      </c>
      <c r="I638" s="1" t="s">
        <v>17</v>
      </c>
      <c r="J638" s="1">
        <v>364.44</v>
      </c>
      <c r="K638" s="1">
        <v>363.17919999999998</v>
      </c>
      <c r="L638" s="7">
        <f>G638-J638</f>
        <v>-0.25351999999998043</v>
      </c>
      <c r="M638" s="1" t="s">
        <v>3760</v>
      </c>
      <c r="N638" s="2">
        <v>579050.17387697601</v>
      </c>
      <c r="O638" s="1">
        <v>931359.59701727703</v>
      </c>
      <c r="P638" s="1">
        <v>894454.88640843495</v>
      </c>
      <c r="Q638" s="1">
        <f>STDEV(N638:P638)</f>
        <v>193633.6833583916</v>
      </c>
      <c r="R638" s="1">
        <v>801621.55243422929</v>
      </c>
      <c r="S638" s="1">
        <v>9.8304277637058842E-4</v>
      </c>
    </row>
    <row r="639" spans="1:19" x14ac:dyDescent="0.3">
      <c r="A639" s="1">
        <v>364</v>
      </c>
      <c r="B639" s="1" t="s">
        <v>2647</v>
      </c>
      <c r="C639" s="1" t="s">
        <v>2648</v>
      </c>
      <c r="D639" s="1">
        <v>6.5750000000000002</v>
      </c>
      <c r="E639" s="1" t="s">
        <v>2649</v>
      </c>
      <c r="F639" s="1" t="s">
        <v>2650</v>
      </c>
      <c r="G639" s="1">
        <v>343.24855000000002</v>
      </c>
      <c r="H639" s="2">
        <v>575606697.90870404</v>
      </c>
      <c r="I639" s="1" t="s">
        <v>23</v>
      </c>
      <c r="J639" s="1">
        <v>343.50292000000002</v>
      </c>
      <c r="K639" s="1">
        <v>344.25583</v>
      </c>
      <c r="L639" s="7">
        <f>G639-J639</f>
        <v>-0.25436999999999443</v>
      </c>
      <c r="M639" s="1" t="s">
        <v>2651</v>
      </c>
      <c r="N639" s="2">
        <v>2207723.2209476898</v>
      </c>
      <c r="O639" s="1">
        <v>3066838.1670547202</v>
      </c>
      <c r="P639" s="1">
        <v>3264806.1991149499</v>
      </c>
      <c r="Q639" s="1">
        <f>STDEV(N639:P639)</f>
        <v>561945.17156528635</v>
      </c>
      <c r="R639" s="1">
        <v>2846455.8623724538</v>
      </c>
      <c r="S639" s="1">
        <v>3.4906594829765855E-3</v>
      </c>
    </row>
    <row r="640" spans="1:19" x14ac:dyDescent="0.3">
      <c r="A640" s="1">
        <v>190</v>
      </c>
      <c r="B640" s="1" t="s">
        <v>2356</v>
      </c>
      <c r="C640" s="1" t="s">
        <v>2357</v>
      </c>
      <c r="D640" s="1">
        <v>7.3550000000000004</v>
      </c>
      <c r="E640" s="1" t="s">
        <v>2358</v>
      </c>
      <c r="F640" s="1" t="s">
        <v>2359</v>
      </c>
      <c r="G640" s="1">
        <v>351.14445999999998</v>
      </c>
      <c r="H640" s="2">
        <v>1597557068.9771199</v>
      </c>
      <c r="I640" s="1" t="s">
        <v>23</v>
      </c>
      <c r="J640" s="1">
        <v>351.39904000000001</v>
      </c>
      <c r="K640" s="1">
        <v>352.15172999999999</v>
      </c>
      <c r="L640" s="7">
        <f>G640-J640</f>
        <v>-0.25458000000003267</v>
      </c>
      <c r="M640" s="1" t="s">
        <v>2360</v>
      </c>
      <c r="N640" s="2">
        <v>3609731.7668536399</v>
      </c>
      <c r="O640" s="1">
        <v>4689987.7120239995</v>
      </c>
      <c r="P640" s="1">
        <v>5319256.1172545301</v>
      </c>
      <c r="Q640" s="1">
        <f>STDEV(N640:P640)</f>
        <v>864619.87191972206</v>
      </c>
      <c r="R640" s="1">
        <v>4539658.5320440568</v>
      </c>
      <c r="S640" s="1">
        <v>5.5670640510643828E-3</v>
      </c>
    </row>
    <row r="641" spans="1:19" x14ac:dyDescent="0.3">
      <c r="A641" s="1">
        <v>175</v>
      </c>
      <c r="B641" s="1" t="s">
        <v>3232</v>
      </c>
      <c r="C641" s="1" t="s">
        <v>3233</v>
      </c>
      <c r="D641" s="1">
        <v>16.826000000000001</v>
      </c>
      <c r="E641" s="1" t="s">
        <v>3234</v>
      </c>
      <c r="F641" s="1" t="s">
        <v>3235</v>
      </c>
      <c r="G641" s="1">
        <v>651.53929000000005</v>
      </c>
      <c r="H641" s="2">
        <v>32997740.780012101</v>
      </c>
      <c r="I641" s="1" t="s">
        <v>23</v>
      </c>
      <c r="J641" s="1">
        <v>651.7944</v>
      </c>
      <c r="K641" s="1">
        <v>652.54656999999997</v>
      </c>
      <c r="L641" s="7">
        <f>G641-J641</f>
        <v>-0.2551099999999451</v>
      </c>
      <c r="M641" s="1" t="s">
        <v>3236</v>
      </c>
      <c r="N641" s="2">
        <v>1253854.0230439999</v>
      </c>
      <c r="O641" s="1">
        <v>1613043.6410336699</v>
      </c>
      <c r="P641" s="1">
        <v>1559873.9082942</v>
      </c>
      <c r="Q641" s="1">
        <f>STDEV(N641:P641)</f>
        <v>193860.93483031009</v>
      </c>
      <c r="R641" s="1">
        <v>1475590.5241239567</v>
      </c>
      <c r="S641" s="1">
        <v>1.8095429211154614E-3</v>
      </c>
    </row>
    <row r="642" spans="1:19" x14ac:dyDescent="0.3">
      <c r="A642" s="1">
        <v>688</v>
      </c>
      <c r="B642" s="1" t="s">
        <v>321</v>
      </c>
      <c r="C642" s="1" t="s">
        <v>322</v>
      </c>
      <c r="D642" s="1">
        <v>5.931</v>
      </c>
      <c r="E642" s="1" t="s">
        <v>323</v>
      </c>
      <c r="F642" s="1" t="s">
        <v>324</v>
      </c>
      <c r="G642" s="1">
        <v>338.09874000000002</v>
      </c>
      <c r="H642" s="2">
        <v>177030326.70493701</v>
      </c>
      <c r="I642" s="1" t="s">
        <v>17</v>
      </c>
      <c r="J642" s="1">
        <v>338.35392000000002</v>
      </c>
      <c r="K642" s="1">
        <v>337.09147000000002</v>
      </c>
      <c r="L642" s="7">
        <f>G642-J642</f>
        <v>-0.25517999999999574</v>
      </c>
      <c r="M642" s="1" t="s">
        <v>325</v>
      </c>
      <c r="N642" s="2">
        <v>165530357.58786801</v>
      </c>
      <c r="O642" s="1">
        <v>177030326.70493701</v>
      </c>
      <c r="P642" s="1">
        <v>165492444.89404401</v>
      </c>
      <c r="Q642" s="1">
        <f>STDEV(N642:P642)</f>
        <v>6650481.7337797591</v>
      </c>
      <c r="R642" s="1">
        <v>169351043.06228301</v>
      </c>
      <c r="S642" s="1">
        <v>0.20767819808195703</v>
      </c>
    </row>
    <row r="643" spans="1:19" x14ac:dyDescent="0.3">
      <c r="A643" s="1">
        <v>405</v>
      </c>
      <c r="B643" s="1" t="s">
        <v>1827</v>
      </c>
      <c r="C643" s="1" t="s">
        <v>1828</v>
      </c>
      <c r="D643" s="1">
        <v>0.876</v>
      </c>
      <c r="E643" s="1" t="s">
        <v>1829</v>
      </c>
      <c r="F643" s="1" t="s">
        <v>1830</v>
      </c>
      <c r="G643" s="1">
        <v>289.11401999999998</v>
      </c>
      <c r="H643" s="2">
        <v>24143349.563546799</v>
      </c>
      <c r="I643" s="1" t="s">
        <v>23</v>
      </c>
      <c r="J643" s="1">
        <v>289.36941999999999</v>
      </c>
      <c r="K643" s="1">
        <v>290.12130999999999</v>
      </c>
      <c r="L643" s="7">
        <f>G643-J643</f>
        <v>-0.25540000000000873</v>
      </c>
      <c r="M643" s="1" t="s">
        <v>1831</v>
      </c>
      <c r="N643" s="2">
        <v>24143349.563546799</v>
      </c>
      <c r="O643" s="1">
        <v>1301975.8255034301</v>
      </c>
      <c r="P643" s="1">
        <v>2564247.7434494901</v>
      </c>
      <c r="Q643" s="1">
        <f>STDEV(N643:P643)</f>
        <v>12838609.218537778</v>
      </c>
      <c r="R643" s="1">
        <v>9336524.3774999063</v>
      </c>
      <c r="S643" s="1">
        <v>1.1449546008136094E-2</v>
      </c>
    </row>
    <row r="644" spans="1:19" x14ac:dyDescent="0.3">
      <c r="A644" s="1">
        <v>932</v>
      </c>
      <c r="B644" s="1" t="s">
        <v>3180</v>
      </c>
      <c r="C644" s="1" t="s">
        <v>3181</v>
      </c>
      <c r="D644" s="1">
        <v>7.8380000000000001</v>
      </c>
      <c r="E644" s="1" t="s">
        <v>3182</v>
      </c>
      <c r="F644" s="1" t="s">
        <v>3183</v>
      </c>
      <c r="G644" s="1">
        <v>317.12396000000001</v>
      </c>
      <c r="H644" s="2">
        <v>1940011.9763585201</v>
      </c>
      <c r="I644" s="1" t="s">
        <v>23</v>
      </c>
      <c r="J644" s="1">
        <v>317.37952000000001</v>
      </c>
      <c r="K644" s="1">
        <v>318.13141000000002</v>
      </c>
      <c r="L644" s="7">
        <f>G644-J644</f>
        <v>-0.25556000000000267</v>
      </c>
      <c r="M644" s="1" t="s">
        <v>24</v>
      </c>
      <c r="N644" s="2">
        <v>1940011.9763585201</v>
      </c>
      <c r="O644" s="1">
        <v>1376724.1928304799</v>
      </c>
      <c r="P644" s="1">
        <v>1440583.4157022501</v>
      </c>
      <c r="Q644" s="1">
        <f>STDEV(N644:P644)</f>
        <v>308436.92348596151</v>
      </c>
      <c r="R644" s="1">
        <v>1585773.1949637502</v>
      </c>
      <c r="S644" s="1">
        <v>1.9446618913095219E-3</v>
      </c>
    </row>
    <row r="645" spans="1:19" x14ac:dyDescent="0.3">
      <c r="A645" s="1">
        <v>918</v>
      </c>
      <c r="B645" s="1" t="s">
        <v>3109</v>
      </c>
      <c r="C645" s="1" t="s">
        <v>3110</v>
      </c>
      <c r="D645" s="1">
        <v>9.31</v>
      </c>
      <c r="E645" s="1" t="s">
        <v>3111</v>
      </c>
      <c r="F645" s="1" t="s">
        <v>3112</v>
      </c>
      <c r="G645" s="1">
        <v>317.12385999999998</v>
      </c>
      <c r="H645" s="2">
        <v>197185190.14984599</v>
      </c>
      <c r="I645" s="1" t="s">
        <v>150</v>
      </c>
      <c r="J645" s="1">
        <v>317.37952000000001</v>
      </c>
      <c r="K645" s="1">
        <v>340.11306999999999</v>
      </c>
      <c r="L645" s="7">
        <f>G645-J645</f>
        <v>-0.25566000000003442</v>
      </c>
      <c r="M645" s="1" t="s">
        <v>3113</v>
      </c>
      <c r="N645" s="2">
        <v>1526772.4843688901</v>
      </c>
      <c r="O645" s="1">
        <v>1819965.1332473001</v>
      </c>
      <c r="P645" s="1">
        <v>1898202.0810930899</v>
      </c>
      <c r="Q645" s="1">
        <f>STDEV(N645:P645)</f>
        <v>195807.25841469085</v>
      </c>
      <c r="R645" s="1">
        <v>1748313.2329030933</v>
      </c>
      <c r="S645" s="1">
        <v>2.1439876325923856E-3</v>
      </c>
    </row>
    <row r="646" spans="1:19" x14ac:dyDescent="0.3">
      <c r="A646" s="1">
        <v>101</v>
      </c>
      <c r="B646" s="1" t="s">
        <v>249</v>
      </c>
      <c r="C646" s="1" t="s">
        <v>250</v>
      </c>
      <c r="D646" s="1">
        <v>1.1439999999999999</v>
      </c>
      <c r="E646" s="1" t="s">
        <v>251</v>
      </c>
      <c r="F646" s="1" t="s">
        <v>252</v>
      </c>
      <c r="G646" s="1">
        <v>214.00734</v>
      </c>
      <c r="H646" s="2">
        <v>489320008.24056703</v>
      </c>
      <c r="I646" s="1" t="s">
        <v>23</v>
      </c>
      <c r="J646" s="1">
        <v>214.26306</v>
      </c>
      <c r="K646" s="1">
        <v>215.01464999999999</v>
      </c>
      <c r="L646" s="7">
        <f>G646-J646</f>
        <v>-0.25571999999999662</v>
      </c>
      <c r="M646" s="1" t="s">
        <v>253</v>
      </c>
      <c r="N646" s="2">
        <v>489320008.24056703</v>
      </c>
      <c r="O646" s="1">
        <v>39967821.354317702</v>
      </c>
      <c r="P646" s="1">
        <v>199916504.52037501</v>
      </c>
      <c r="Q646" s="1">
        <f>STDEV(N646:P646)</f>
        <v>227762799.52014902</v>
      </c>
      <c r="R646" s="1">
        <v>243068111.37175325</v>
      </c>
      <c r="S646" s="1">
        <v>0.29807875090739727</v>
      </c>
    </row>
    <row r="647" spans="1:19" x14ac:dyDescent="0.3">
      <c r="A647" s="1">
        <v>700</v>
      </c>
      <c r="B647" s="1" t="s">
        <v>619</v>
      </c>
      <c r="C647" s="1" t="s">
        <v>620</v>
      </c>
      <c r="D647" s="1">
        <v>0.84399999999999997</v>
      </c>
      <c r="E647" s="1" t="s">
        <v>621</v>
      </c>
      <c r="F647" s="1" t="s">
        <v>622</v>
      </c>
      <c r="G647" s="1">
        <v>478.10548</v>
      </c>
      <c r="H647" s="2">
        <v>89120496.088111997</v>
      </c>
      <c r="I647" s="1" t="s">
        <v>23</v>
      </c>
      <c r="J647" s="1">
        <v>478.36135999999999</v>
      </c>
      <c r="K647" s="1">
        <v>479.11275999999998</v>
      </c>
      <c r="L647" s="7">
        <f>G647-J647</f>
        <v>-0.25587999999999056</v>
      </c>
      <c r="M647" s="1" t="s">
        <v>623</v>
      </c>
      <c r="N647" s="2">
        <v>89120496.088111997</v>
      </c>
      <c r="O647" s="1">
        <v>80681890.317459196</v>
      </c>
      <c r="P647" s="1">
        <v>77772205.961160898</v>
      </c>
      <c r="Q647" s="1">
        <f>STDEV(N647:P647)</f>
        <v>5894347.8464717586</v>
      </c>
      <c r="R647" s="1">
        <v>82524864.12224403</v>
      </c>
      <c r="S647" s="1">
        <v>0.10120170958476377</v>
      </c>
    </row>
    <row r="648" spans="1:19" x14ac:dyDescent="0.3">
      <c r="A648" s="1">
        <v>234</v>
      </c>
      <c r="B648" s="1" t="s">
        <v>3635</v>
      </c>
      <c r="C648" s="1" t="s">
        <v>3636</v>
      </c>
      <c r="D648" s="1">
        <v>14.48</v>
      </c>
      <c r="E648" s="1" t="s">
        <v>3637</v>
      </c>
      <c r="F648" s="1" t="s">
        <v>3638</v>
      </c>
      <c r="G648" s="1">
        <v>629.48173999999995</v>
      </c>
      <c r="H648" s="2">
        <v>27158500.534090601</v>
      </c>
      <c r="I648" s="1" t="s">
        <v>23</v>
      </c>
      <c r="J648" s="1">
        <v>629.73767999999995</v>
      </c>
      <c r="K648" s="1">
        <v>630.48901000000001</v>
      </c>
      <c r="L648" s="7">
        <f>G648-J648</f>
        <v>-0.2559400000000096</v>
      </c>
      <c r="M648" s="1" t="s">
        <v>3639</v>
      </c>
      <c r="N648" s="2">
        <v>949615.63940794603</v>
      </c>
      <c r="O648" s="1">
        <v>926118.03430209996</v>
      </c>
      <c r="P648" s="1">
        <v>807664.93341794703</v>
      </c>
      <c r="Q648" s="1">
        <f>STDEV(N648:P648)</f>
        <v>76084.686901987414</v>
      </c>
      <c r="R648" s="1">
        <v>894466.20237599767</v>
      </c>
      <c r="S648" s="1">
        <v>1.0968998229691452E-3</v>
      </c>
    </row>
    <row r="649" spans="1:19" x14ac:dyDescent="0.3">
      <c r="A649" s="1">
        <v>154</v>
      </c>
      <c r="B649" s="1" t="s">
        <v>4018</v>
      </c>
      <c r="C649" s="1" t="s">
        <v>4019</v>
      </c>
      <c r="D649" s="1">
        <v>6.3440000000000003</v>
      </c>
      <c r="E649" s="1" t="s">
        <v>4020</v>
      </c>
      <c r="F649" s="1" t="s">
        <v>4021</v>
      </c>
      <c r="G649" s="1">
        <v>354.18673999999999</v>
      </c>
      <c r="H649" s="2">
        <v>1295083.21910153</v>
      </c>
      <c r="I649" s="1" t="s">
        <v>17</v>
      </c>
      <c r="J649" s="1">
        <v>354.44274000000001</v>
      </c>
      <c r="K649" s="1">
        <v>353.17946000000001</v>
      </c>
      <c r="L649" s="7">
        <f>G649-J649</f>
        <v>-0.25600000000002865</v>
      </c>
      <c r="M649" s="1" t="s">
        <v>24</v>
      </c>
      <c r="N649" s="2">
        <v>588676.69810256199</v>
      </c>
      <c r="O649" s="1">
        <v>674007.49426889501</v>
      </c>
      <c r="P649" s="1">
        <v>526550.51249418105</v>
      </c>
      <c r="Q649" s="1">
        <f>STDEV(N649:P649)</f>
        <v>74032.16551690636</v>
      </c>
      <c r="R649" s="1">
        <v>596411.56828854594</v>
      </c>
      <c r="S649" s="1">
        <v>7.3139012064924879E-4</v>
      </c>
    </row>
    <row r="650" spans="1:19" x14ac:dyDescent="0.3">
      <c r="A650" s="1">
        <v>147</v>
      </c>
      <c r="B650" s="1" t="s">
        <v>807</v>
      </c>
      <c r="C650" s="1" t="s">
        <v>808</v>
      </c>
      <c r="D650" s="1">
        <v>6.968</v>
      </c>
      <c r="E650" s="1" t="s">
        <v>809</v>
      </c>
      <c r="F650" s="1" t="s">
        <v>810</v>
      </c>
      <c r="G650" s="1">
        <v>354.18646999999999</v>
      </c>
      <c r="H650" s="2">
        <v>160672417.91365799</v>
      </c>
      <c r="I650" s="1" t="s">
        <v>23</v>
      </c>
      <c r="J650" s="1">
        <v>354.44274000000001</v>
      </c>
      <c r="K650" s="1">
        <v>355.19373999999999</v>
      </c>
      <c r="L650" s="7">
        <f>G650-J650</f>
        <v>-0.25627000000002909</v>
      </c>
      <c r="M650" s="1" t="s">
        <v>24</v>
      </c>
      <c r="N650" s="2">
        <v>2263796.0605608998</v>
      </c>
      <c r="O650" s="1">
        <v>2341701.07960231</v>
      </c>
      <c r="P650" s="1">
        <v>160672417.91365799</v>
      </c>
      <c r="Q650" s="1">
        <f>STDEV(N650:P650)</f>
        <v>91434779.524146259</v>
      </c>
      <c r="R650" s="1">
        <v>55092638.351273738</v>
      </c>
      <c r="S650" s="1">
        <v>6.7561082904966471E-2</v>
      </c>
    </row>
    <row r="651" spans="1:19" x14ac:dyDescent="0.3">
      <c r="A651" s="1">
        <v>570</v>
      </c>
      <c r="B651" s="1" t="s">
        <v>568</v>
      </c>
      <c r="C651" s="1" t="s">
        <v>569</v>
      </c>
      <c r="D651" s="1">
        <v>9.7119999999999997</v>
      </c>
      <c r="E651" s="1" t="s">
        <v>570</v>
      </c>
      <c r="F651" s="1" t="s">
        <v>571</v>
      </c>
      <c r="G651" s="1">
        <v>382.06367</v>
      </c>
      <c r="H651" s="2">
        <v>114341245.327868</v>
      </c>
      <c r="I651" s="1" t="s">
        <v>23</v>
      </c>
      <c r="J651" s="1">
        <v>382.32035999999999</v>
      </c>
      <c r="K651" s="1">
        <v>383.07094999999998</v>
      </c>
      <c r="L651" s="7">
        <f>G651-J651</f>
        <v>-0.25668999999999187</v>
      </c>
      <c r="M651" s="1" t="s">
        <v>572</v>
      </c>
      <c r="N651" s="2">
        <v>114341245.327868</v>
      </c>
      <c r="O651" s="1">
        <v>83758088.956903607</v>
      </c>
      <c r="P651" s="1">
        <v>64612119.481314398</v>
      </c>
      <c r="Q651" s="1">
        <f>STDEV(N651:P651)</f>
        <v>25082808.050646324</v>
      </c>
      <c r="R651" s="1">
        <v>87570484.588695332</v>
      </c>
      <c r="S651" s="1">
        <v>0.10738924376069836</v>
      </c>
    </row>
    <row r="652" spans="1:19" x14ac:dyDescent="0.3">
      <c r="A652" s="1">
        <v>667</v>
      </c>
      <c r="B652" s="1" t="s">
        <v>1164</v>
      </c>
      <c r="C652" s="1" t="s">
        <v>1165</v>
      </c>
      <c r="D652" s="1">
        <v>7.165</v>
      </c>
      <c r="E652" s="1" t="s">
        <v>1166</v>
      </c>
      <c r="F652" s="1" t="s">
        <v>1167</v>
      </c>
      <c r="G652" s="1">
        <v>420.19738999999998</v>
      </c>
      <c r="H652" s="2">
        <v>120842105.858154</v>
      </c>
      <c r="I652" s="1" t="s">
        <v>959</v>
      </c>
      <c r="J652" s="1">
        <v>420.45445999999998</v>
      </c>
      <c r="K652" s="1">
        <v>401.17953</v>
      </c>
      <c r="L652" s="7">
        <f>G652-J652</f>
        <v>-0.2570699999999988</v>
      </c>
      <c r="M652" s="1" t="s">
        <v>1168</v>
      </c>
      <c r="N652" s="2">
        <v>27774471.678433299</v>
      </c>
      <c r="O652" s="1">
        <v>30751434.6264618</v>
      </c>
      <c r="P652" s="1">
        <v>34059005.042743497</v>
      </c>
      <c r="Q652" s="1">
        <f>STDEV(N652:P652)</f>
        <v>3143715.6905940794</v>
      </c>
      <c r="R652" s="1">
        <v>30861637.115879536</v>
      </c>
      <c r="S652" s="1">
        <v>3.7846174845985056E-2</v>
      </c>
    </row>
    <row r="653" spans="1:19" x14ac:dyDescent="0.3">
      <c r="A653" s="1">
        <v>404</v>
      </c>
      <c r="B653" s="1" t="s">
        <v>609</v>
      </c>
      <c r="C653" s="1" t="s">
        <v>610</v>
      </c>
      <c r="D653" s="1">
        <v>0.83199999999999996</v>
      </c>
      <c r="E653" s="1" t="s">
        <v>611</v>
      </c>
      <c r="F653" s="1" t="s">
        <v>612</v>
      </c>
      <c r="G653" s="1">
        <v>289.11165</v>
      </c>
      <c r="H653" s="2">
        <v>104831538.932345</v>
      </c>
      <c r="I653" s="1" t="s">
        <v>23</v>
      </c>
      <c r="J653" s="1">
        <v>289.36941999999999</v>
      </c>
      <c r="K653" s="1">
        <v>290.11892999999998</v>
      </c>
      <c r="L653" s="7">
        <f>G653-J653</f>
        <v>-0.25776999999999362</v>
      </c>
      <c r="M653" s="1" t="s">
        <v>613</v>
      </c>
      <c r="N653" s="2">
        <v>95443265.910520196</v>
      </c>
      <c r="O653" s="1">
        <v>81298869.153326601</v>
      </c>
      <c r="P653" s="1">
        <v>71060234.514317706</v>
      </c>
      <c r="Q653" s="1">
        <f>STDEV(N653:P653)</f>
        <v>12243541.28349719</v>
      </c>
      <c r="R653" s="1">
        <v>82600789.859388173</v>
      </c>
      <c r="S653" s="1">
        <v>0.10129481866748928</v>
      </c>
    </row>
    <row r="654" spans="1:19" x14ac:dyDescent="0.3">
      <c r="A654" s="1">
        <v>121</v>
      </c>
      <c r="B654" s="1" t="s">
        <v>2054</v>
      </c>
      <c r="C654" s="1" t="s">
        <v>2055</v>
      </c>
      <c r="D654" s="1">
        <v>0.88300000000000001</v>
      </c>
      <c r="E654" s="1" t="s">
        <v>2056</v>
      </c>
      <c r="F654" s="1" t="s">
        <v>2057</v>
      </c>
      <c r="G654" s="1">
        <v>246.04857999999999</v>
      </c>
      <c r="H654" s="2">
        <v>31603202.219357699</v>
      </c>
      <c r="I654" s="1" t="s">
        <v>150</v>
      </c>
      <c r="J654" s="1">
        <v>246.30645999999999</v>
      </c>
      <c r="K654" s="1">
        <v>269.03778</v>
      </c>
      <c r="L654" s="7">
        <f>G654-J654</f>
        <v>-0.25788000000000011</v>
      </c>
      <c r="M654" s="1" t="s">
        <v>2058</v>
      </c>
      <c r="N654" s="2">
        <v>18880868.0233365</v>
      </c>
      <c r="O654" s="1">
        <v>951678.27228761802</v>
      </c>
      <c r="P654" s="1">
        <v>1114471.7584681499</v>
      </c>
      <c r="Q654" s="1">
        <f>STDEV(N654:P654)</f>
        <v>10304749.577165756</v>
      </c>
      <c r="R654" s="1">
        <v>6982339.3513640901</v>
      </c>
      <c r="S654" s="1">
        <v>8.5625670126798833E-3</v>
      </c>
    </row>
    <row r="655" spans="1:19" x14ac:dyDescent="0.3">
      <c r="A655" s="1">
        <v>978</v>
      </c>
      <c r="B655" s="1" t="s">
        <v>4124</v>
      </c>
      <c r="C655" s="1" t="s">
        <v>4125</v>
      </c>
      <c r="D655" s="1">
        <v>6.492</v>
      </c>
      <c r="E655" s="1" t="s">
        <v>4126</v>
      </c>
      <c r="F655" s="1" t="s">
        <v>4127</v>
      </c>
      <c r="G655" s="1">
        <v>348.13188000000002</v>
      </c>
      <c r="H655" s="2">
        <v>789719.89804216998</v>
      </c>
      <c r="I655" s="1" t="s">
        <v>139</v>
      </c>
      <c r="J655" s="1">
        <v>348.39026000000001</v>
      </c>
      <c r="K655" s="1">
        <v>393.13049000000001</v>
      </c>
      <c r="L655" s="7">
        <f>G655-J655</f>
        <v>-0.25837999999998829</v>
      </c>
      <c r="M655" s="1" t="s">
        <v>24</v>
      </c>
      <c r="N655" s="2">
        <v>491605.98203185498</v>
      </c>
      <c r="O655" s="1">
        <v>788720.93208319601</v>
      </c>
      <c r="P655" s="1">
        <v>212629.41765610699</v>
      </c>
      <c r="Q655" s="1">
        <f>STDEV(N655:P655)</f>
        <v>288093.34425084159</v>
      </c>
      <c r="R655" s="1">
        <v>497652.11059038603</v>
      </c>
      <c r="S655" s="1">
        <v>6.1027964003200214E-4</v>
      </c>
    </row>
    <row r="656" spans="1:19" x14ac:dyDescent="0.3">
      <c r="A656" s="1">
        <v>251</v>
      </c>
      <c r="B656" s="1" t="s">
        <v>3681</v>
      </c>
      <c r="C656" s="1" t="s">
        <v>3682</v>
      </c>
      <c r="D656" s="1">
        <v>1.9470000000000001</v>
      </c>
      <c r="E656" s="1" t="s">
        <v>3683</v>
      </c>
      <c r="F656" s="1" t="s">
        <v>3684</v>
      </c>
      <c r="G656" s="1">
        <v>359.24364000000003</v>
      </c>
      <c r="H656" s="2">
        <v>6916719.9054164197</v>
      </c>
      <c r="I656" s="1" t="s">
        <v>23</v>
      </c>
      <c r="J656" s="1">
        <v>359.50232</v>
      </c>
      <c r="K656" s="1">
        <v>360.25092000000001</v>
      </c>
      <c r="L656" s="7">
        <f>G656-J656</f>
        <v>-0.25867999999996982</v>
      </c>
      <c r="M656" s="1" t="s">
        <v>3685</v>
      </c>
      <c r="N656" s="2">
        <v>771290.67365188105</v>
      </c>
      <c r="O656" s="1">
        <v>894409.793582496</v>
      </c>
      <c r="P656" s="1">
        <v>933794.305229094</v>
      </c>
      <c r="Q656" s="1">
        <f>STDEV(N656:P656)</f>
        <v>84771.150483633202</v>
      </c>
      <c r="R656" s="1">
        <v>866498.25748782372</v>
      </c>
      <c r="S656" s="1">
        <v>1.0626022344016198E-3</v>
      </c>
    </row>
    <row r="657" spans="1:19" x14ac:dyDescent="0.3">
      <c r="A657" s="1">
        <v>666</v>
      </c>
      <c r="B657" s="1" t="s">
        <v>1055</v>
      </c>
      <c r="C657" s="1" t="s">
        <v>1056</v>
      </c>
      <c r="D657" s="1">
        <v>11.308999999999999</v>
      </c>
      <c r="E657" s="1" t="s">
        <v>1057</v>
      </c>
      <c r="F657" s="1" t="s">
        <v>1058</v>
      </c>
      <c r="G657" s="1">
        <v>451.25241999999997</v>
      </c>
      <c r="H657" s="2">
        <v>41227615.229528703</v>
      </c>
      <c r="I657" s="1" t="s">
        <v>17</v>
      </c>
      <c r="J657" s="1">
        <v>451.51155999999997</v>
      </c>
      <c r="K657" s="1">
        <v>450.24515000000002</v>
      </c>
      <c r="L657" s="7">
        <f>G657-J657</f>
        <v>-0.25914000000000215</v>
      </c>
      <c r="M657" s="1" t="s">
        <v>24</v>
      </c>
      <c r="N657" s="2">
        <v>33390007.448737498</v>
      </c>
      <c r="O657" s="1">
        <v>39071435.4294741</v>
      </c>
      <c r="P657" s="1">
        <v>41227615.229528703</v>
      </c>
      <c r="Q657" s="1">
        <f>STDEV(N657:P657)</f>
        <v>4048782.3469116227</v>
      </c>
      <c r="R657" s="1">
        <v>37896352.702580102</v>
      </c>
      <c r="S657" s="1">
        <v>4.6472971768208485E-2</v>
      </c>
    </row>
    <row r="658" spans="1:19" x14ac:dyDescent="0.3">
      <c r="A658" s="1">
        <v>975</v>
      </c>
      <c r="B658" s="1" t="s">
        <v>1604</v>
      </c>
      <c r="C658" s="1" t="s">
        <v>1605</v>
      </c>
      <c r="D658" s="1">
        <v>1.411</v>
      </c>
      <c r="E658" s="1" t="s">
        <v>1606</v>
      </c>
      <c r="F658" s="1" t="s">
        <v>1607</v>
      </c>
      <c r="G658" s="1">
        <v>346.15795000000003</v>
      </c>
      <c r="H658" s="2">
        <v>15953761.342860401</v>
      </c>
      <c r="I658" s="1" t="s">
        <v>23</v>
      </c>
      <c r="J658" s="1">
        <v>346.41744</v>
      </c>
      <c r="K658" s="1">
        <v>347.16521999999998</v>
      </c>
      <c r="L658" s="7">
        <f>G658-J658</f>
        <v>-0.25948999999997113</v>
      </c>
      <c r="M658" s="1" t="s">
        <v>1608</v>
      </c>
      <c r="N658" s="2">
        <v>8416297.2276547495</v>
      </c>
      <c r="O658" s="1">
        <v>15953761.342860401</v>
      </c>
      <c r="P658" s="1">
        <v>15201556.8904834</v>
      </c>
      <c r="Q658" s="1">
        <f>STDEV(N658:P658)</f>
        <v>4151684.9093309543</v>
      </c>
      <c r="R658" s="1">
        <v>13190538.486999517</v>
      </c>
      <c r="S658" s="1">
        <v>1.6175792101282109E-2</v>
      </c>
    </row>
    <row r="659" spans="1:19" x14ac:dyDescent="0.3">
      <c r="A659" s="1">
        <v>269</v>
      </c>
      <c r="B659" s="1" t="s">
        <v>1665</v>
      </c>
      <c r="C659" s="1" t="s">
        <v>1666</v>
      </c>
      <c r="D659" s="1">
        <v>6.9980000000000002</v>
      </c>
      <c r="E659" s="1" t="s">
        <v>1667</v>
      </c>
      <c r="F659" s="1" t="s">
        <v>1668</v>
      </c>
      <c r="G659" s="1">
        <v>263.11543</v>
      </c>
      <c r="H659" s="2">
        <v>16994101.268551901</v>
      </c>
      <c r="I659" s="1" t="s">
        <v>1669</v>
      </c>
      <c r="J659" s="1">
        <v>263.37520000000001</v>
      </c>
      <c r="K659" s="1">
        <v>376.10165000000001</v>
      </c>
      <c r="L659" s="7">
        <f>G659-J659</f>
        <v>-0.25977000000000317</v>
      </c>
      <c r="M659" s="1" t="s">
        <v>24</v>
      </c>
      <c r="N659" s="2">
        <v>11547063.8340996</v>
      </c>
      <c r="O659" s="1">
        <v>16994101.268551901</v>
      </c>
      <c r="P659" s="1">
        <v>7278690.3881841898</v>
      </c>
      <c r="Q659" s="1">
        <f>STDEV(N659:P659)</f>
        <v>4869607.0556820054</v>
      </c>
      <c r="R659" s="1">
        <v>11939951.830278562</v>
      </c>
      <c r="S659" s="1">
        <v>1.464217542720217E-2</v>
      </c>
    </row>
    <row r="660" spans="1:19" x14ac:dyDescent="0.3">
      <c r="A660" s="1">
        <v>482</v>
      </c>
      <c r="B660" s="1" t="s">
        <v>4518</v>
      </c>
      <c r="C660" s="1" t="s">
        <v>4519</v>
      </c>
      <c r="D660" s="1">
        <v>8.1950000000000003</v>
      </c>
      <c r="E660" s="1" t="s">
        <v>4520</v>
      </c>
      <c r="F660" s="1" t="s">
        <v>4521</v>
      </c>
      <c r="G660" s="1">
        <v>518.24977000000001</v>
      </c>
      <c r="H660" s="2">
        <v>294221.97765242303</v>
      </c>
      <c r="I660" s="1" t="s">
        <v>17</v>
      </c>
      <c r="J660" s="1">
        <v>518.50980000000004</v>
      </c>
      <c r="K660" s="1">
        <v>517.24248999999998</v>
      </c>
      <c r="L660" s="7">
        <f>G660-J660</f>
        <v>-0.26003000000002885</v>
      </c>
      <c r="M660" s="1" t="s">
        <v>24</v>
      </c>
      <c r="N660" s="2">
        <v>180321.47477834899</v>
      </c>
      <c r="O660" s="1">
        <v>178536.574909054</v>
      </c>
      <c r="P660" s="1">
        <v>106642.475818099</v>
      </c>
      <c r="Q660" s="1">
        <f>STDEV(N660:P660)</f>
        <v>42032.809088908813</v>
      </c>
      <c r="R660" s="1">
        <v>155166.84183516735</v>
      </c>
      <c r="S660" s="1">
        <v>1.9028385967805424E-4</v>
      </c>
    </row>
    <row r="661" spans="1:19" x14ac:dyDescent="0.3">
      <c r="A661" s="1">
        <v>417</v>
      </c>
      <c r="B661" s="1" t="s">
        <v>4091</v>
      </c>
      <c r="C661" s="1" t="s">
        <v>4092</v>
      </c>
      <c r="D661" s="1">
        <v>7.8769999999999998</v>
      </c>
      <c r="E661" s="1" t="s">
        <v>4093</v>
      </c>
      <c r="F661" s="1" t="s">
        <v>4094</v>
      </c>
      <c r="G661" s="1">
        <v>241.06595999999999</v>
      </c>
      <c r="H661" s="2">
        <v>20958991.784362201</v>
      </c>
      <c r="I661" s="1" t="s">
        <v>3606</v>
      </c>
      <c r="J661" s="1">
        <v>241.32661999999999</v>
      </c>
      <c r="K661" s="1">
        <v>527.13049000000001</v>
      </c>
      <c r="L661" s="7">
        <f>G661-J661</f>
        <v>-0.26066000000000145</v>
      </c>
      <c r="M661" s="1" t="s">
        <v>24</v>
      </c>
      <c r="N661" s="2">
        <v>215320.14241875199</v>
      </c>
      <c r="O661" s="1">
        <v>110982.487518473</v>
      </c>
      <c r="P661" s="1">
        <v>1243348.91070505</v>
      </c>
      <c r="Q661" s="1">
        <f>STDEV(N661:P661)</f>
        <v>625830.54296067171</v>
      </c>
      <c r="R661" s="1">
        <v>523217.18021409167</v>
      </c>
      <c r="S661" s="1">
        <v>6.4163053989825416E-4</v>
      </c>
    </row>
    <row r="662" spans="1:19" x14ac:dyDescent="0.3">
      <c r="A662" s="1">
        <v>390</v>
      </c>
      <c r="B662" s="1" t="s">
        <v>2564</v>
      </c>
      <c r="C662" s="1" t="s">
        <v>2565</v>
      </c>
      <c r="D662" s="1">
        <v>1.3169999999999999</v>
      </c>
      <c r="E662" s="1" t="s">
        <v>2566</v>
      </c>
      <c r="F662" s="1" t="s">
        <v>2567</v>
      </c>
      <c r="G662" s="1">
        <v>245.05613</v>
      </c>
      <c r="H662" s="2">
        <v>3789683.96404238</v>
      </c>
      <c r="I662" s="1" t="s">
        <v>290</v>
      </c>
      <c r="J662" s="1">
        <v>245.31685999999999</v>
      </c>
      <c r="K662" s="1">
        <v>123.53534000000001</v>
      </c>
      <c r="L662" s="7">
        <f>G662-J662</f>
        <v>-0.26072999999999524</v>
      </c>
      <c r="M662" s="1" t="s">
        <v>2568</v>
      </c>
      <c r="N662" s="2">
        <v>3789683.96404238</v>
      </c>
      <c r="O662" s="1">
        <v>3055328.0517010801</v>
      </c>
      <c r="P662" s="1">
        <v>2687002.9031193098</v>
      </c>
      <c r="Q662" s="1">
        <f>STDEV(N662:P662)</f>
        <v>561374.43582496769</v>
      </c>
      <c r="R662" s="1">
        <v>3177338.3062875904</v>
      </c>
      <c r="S662" s="1">
        <v>3.8964265127313267E-3</v>
      </c>
    </row>
    <row r="663" spans="1:19" x14ac:dyDescent="0.3">
      <c r="A663" s="1">
        <v>919</v>
      </c>
      <c r="B663" s="1" t="s">
        <v>3592</v>
      </c>
      <c r="C663" s="1" t="s">
        <v>3593</v>
      </c>
      <c r="D663" s="1">
        <v>3.0289999999999999</v>
      </c>
      <c r="E663" s="1" t="s">
        <v>3594</v>
      </c>
      <c r="F663" s="1" t="s">
        <v>3595</v>
      </c>
      <c r="G663" s="1">
        <v>331.10216000000003</v>
      </c>
      <c r="H663" s="2">
        <v>1486477.1594714499</v>
      </c>
      <c r="I663" s="1" t="s">
        <v>23</v>
      </c>
      <c r="J663" s="1">
        <v>331.36304000000001</v>
      </c>
      <c r="K663" s="1">
        <v>332.10944000000001</v>
      </c>
      <c r="L663" s="7">
        <f>G663-J663</f>
        <v>-0.26087999999998601</v>
      </c>
      <c r="M663" s="1" t="s">
        <v>3596</v>
      </c>
      <c r="N663" s="2">
        <v>538915.84847414703</v>
      </c>
      <c r="O663" s="1">
        <v>745884.17467566801</v>
      </c>
      <c r="P663" s="1">
        <v>1486477.1594714499</v>
      </c>
      <c r="Q663" s="1">
        <f>STDEV(N663:P663)</f>
        <v>498194.45589018625</v>
      </c>
      <c r="R663" s="1">
        <v>923759.0608737549</v>
      </c>
      <c r="S663" s="1">
        <v>1.1328221766758572E-3</v>
      </c>
    </row>
    <row r="664" spans="1:19" x14ac:dyDescent="0.3">
      <c r="A664" s="1">
        <v>57</v>
      </c>
      <c r="B664" s="1" t="s">
        <v>1503</v>
      </c>
      <c r="C664" s="1" t="s">
        <v>1504</v>
      </c>
      <c r="D664" s="1">
        <v>6.68</v>
      </c>
      <c r="E664" s="1" t="s">
        <v>1505</v>
      </c>
      <c r="F664" s="1" t="s">
        <v>1506</v>
      </c>
      <c r="G664" s="1">
        <v>266.07668999999999</v>
      </c>
      <c r="H664" s="2">
        <v>45777840.067790702</v>
      </c>
      <c r="I664" s="1" t="s">
        <v>17</v>
      </c>
      <c r="J664" s="1">
        <v>266.33762000000002</v>
      </c>
      <c r="K664" s="1">
        <v>265.06945999999999</v>
      </c>
      <c r="L664" s="7">
        <f>G664-J664</f>
        <v>-0.2609300000000303</v>
      </c>
      <c r="M664" s="1" t="s">
        <v>1507</v>
      </c>
      <c r="N664" s="2">
        <v>18027708.563840099</v>
      </c>
      <c r="O664" s="1">
        <v>11579100.223998699</v>
      </c>
      <c r="P664" s="1">
        <v>15755329.086180599</v>
      </c>
      <c r="Q664" s="1">
        <f>STDEV(N664:P664)</f>
        <v>3270808.9091355042</v>
      </c>
      <c r="R664" s="1">
        <v>15120712.624673134</v>
      </c>
      <c r="S664" s="1">
        <v>1.8542798998009799E-2</v>
      </c>
    </row>
    <row r="665" spans="1:19" x14ac:dyDescent="0.3">
      <c r="A665" s="1">
        <v>120</v>
      </c>
      <c r="B665" s="1" t="s">
        <v>2956</v>
      </c>
      <c r="C665" s="1" t="s">
        <v>2957</v>
      </c>
      <c r="D665" s="1">
        <v>13.901999999999999</v>
      </c>
      <c r="E665" s="1" t="s">
        <v>2958</v>
      </c>
      <c r="F665" s="1" t="s">
        <v>2959</v>
      </c>
      <c r="G665" s="1">
        <v>438.34595999999999</v>
      </c>
      <c r="H665" s="2">
        <v>145034196.80057001</v>
      </c>
      <c r="I665" s="1" t="s">
        <v>23</v>
      </c>
      <c r="J665" s="1">
        <v>438.60705999999999</v>
      </c>
      <c r="K665" s="1">
        <v>439.35324000000003</v>
      </c>
      <c r="L665" s="7">
        <f>G665-J665</f>
        <v>-0.261099999999999</v>
      </c>
      <c r="M665" s="1" t="s">
        <v>2960</v>
      </c>
      <c r="N665" s="2">
        <v>2183631.6576556298</v>
      </c>
      <c r="O665" s="1">
        <v>2241354.4922469198</v>
      </c>
      <c r="P665" s="1">
        <v>1749519.659403</v>
      </c>
      <c r="Q665" s="1">
        <f>STDEV(N665:P665)</f>
        <v>268851.46315972687</v>
      </c>
      <c r="R665" s="1">
        <v>2058168.6031018498</v>
      </c>
      <c r="S665" s="1">
        <v>2.5239687876256562E-3</v>
      </c>
    </row>
    <row r="666" spans="1:19" x14ac:dyDescent="0.3">
      <c r="A666" s="1">
        <v>985</v>
      </c>
      <c r="B666" s="1" t="s">
        <v>3623</v>
      </c>
      <c r="C666" s="1" t="s">
        <v>3624</v>
      </c>
      <c r="D666" s="1">
        <v>7.2590000000000003</v>
      </c>
      <c r="E666" s="1"/>
      <c r="F666" s="1" t="s">
        <v>3625</v>
      </c>
      <c r="G666" s="1">
        <v>380.17878999999999</v>
      </c>
      <c r="H666" s="2">
        <v>4114927.1954074199</v>
      </c>
      <c r="I666" s="1" t="s">
        <v>23</v>
      </c>
      <c r="J666" s="1">
        <v>380.44</v>
      </c>
      <c r="K666" s="1">
        <v>381.18588</v>
      </c>
      <c r="L666" s="7">
        <f>G666-J666</f>
        <v>-0.26121000000000549</v>
      </c>
      <c r="M666" s="1" t="s">
        <v>24</v>
      </c>
      <c r="N666" s="2">
        <v>715173.94292417995</v>
      </c>
      <c r="O666" s="1">
        <v>998575.51171269105</v>
      </c>
      <c r="P666" s="1">
        <v>1008163.16033548</v>
      </c>
      <c r="Q666" s="1">
        <f>STDEV(N666:P666)</f>
        <v>166458.73047955384</v>
      </c>
      <c r="R666" s="1">
        <v>907304.20499078371</v>
      </c>
      <c r="S666" s="1">
        <v>1.1126432940561798E-3</v>
      </c>
    </row>
    <row r="667" spans="1:19" x14ac:dyDescent="0.3">
      <c r="A667" s="1">
        <v>726</v>
      </c>
      <c r="B667" s="1" t="s">
        <v>3363</v>
      </c>
      <c r="C667" s="1" t="s">
        <v>3364</v>
      </c>
      <c r="D667" s="1">
        <v>9.2140000000000004</v>
      </c>
      <c r="E667" s="1" t="s">
        <v>3365</v>
      </c>
      <c r="F667" s="1" t="s">
        <v>3366</v>
      </c>
      <c r="G667" s="1">
        <v>432.24520000000001</v>
      </c>
      <c r="H667" s="2">
        <v>1913451.4022709299</v>
      </c>
      <c r="I667" s="1" t="s">
        <v>23</v>
      </c>
      <c r="J667" s="1">
        <v>432.50668000000002</v>
      </c>
      <c r="K667" s="1">
        <v>433.25247000000002</v>
      </c>
      <c r="L667" s="7">
        <f>G667-J667</f>
        <v>-0.26148000000000593</v>
      </c>
      <c r="M667" s="1" t="s">
        <v>24</v>
      </c>
      <c r="N667" s="2">
        <v>1149558.6122312699</v>
      </c>
      <c r="O667" s="1">
        <v>1409429.0743655099</v>
      </c>
      <c r="P667" s="1">
        <v>1006156.83558599</v>
      </c>
      <c r="Q667" s="1">
        <f>STDEV(N667:P667)</f>
        <v>204420.00277416219</v>
      </c>
      <c r="R667" s="1">
        <v>1188381.5073942568</v>
      </c>
      <c r="S667" s="1">
        <v>1.4573333923830162E-3</v>
      </c>
    </row>
    <row r="668" spans="1:19" x14ac:dyDescent="0.3">
      <c r="A668" s="1">
        <v>437</v>
      </c>
      <c r="B668" s="1" t="s">
        <v>950</v>
      </c>
      <c r="C668" s="1" t="s">
        <v>951</v>
      </c>
      <c r="D668" s="1">
        <v>7.9909999999999997</v>
      </c>
      <c r="E668" s="1" t="s">
        <v>952</v>
      </c>
      <c r="F668" s="1" t="s">
        <v>953</v>
      </c>
      <c r="G668" s="1">
        <v>313.12932999999998</v>
      </c>
      <c r="H668" s="2">
        <v>63211665.050649002</v>
      </c>
      <c r="I668" s="1" t="s">
        <v>23</v>
      </c>
      <c r="J668" s="1">
        <v>313.39082000000002</v>
      </c>
      <c r="K668" s="1">
        <v>314.13643000000002</v>
      </c>
      <c r="L668" s="7">
        <f>G668-J668</f>
        <v>-0.26149000000003753</v>
      </c>
      <c r="M668" s="1" t="s">
        <v>954</v>
      </c>
      <c r="N668" s="2">
        <v>63211665.050649002</v>
      </c>
      <c r="O668" s="1">
        <v>45745020.168794997</v>
      </c>
      <c r="P668" s="1">
        <v>24809855.5390875</v>
      </c>
      <c r="Q668" s="1">
        <f>STDEV(N668:P668)</f>
        <v>19226993.937621515</v>
      </c>
      <c r="R668" s="1">
        <v>44588846.919510506</v>
      </c>
      <c r="S668" s="1">
        <v>5.4680096534100012E-2</v>
      </c>
    </row>
    <row r="669" spans="1:19" x14ac:dyDescent="0.3">
      <c r="A669" s="1">
        <v>998</v>
      </c>
      <c r="B669" s="1" t="s">
        <v>1477</v>
      </c>
      <c r="C669" s="1" t="s">
        <v>1478</v>
      </c>
      <c r="D669" s="1">
        <v>8.6780000000000008</v>
      </c>
      <c r="E669" s="1"/>
      <c r="F669" s="1" t="s">
        <v>1479</v>
      </c>
      <c r="G669" s="1">
        <v>380.17842999999999</v>
      </c>
      <c r="H669" s="2">
        <v>51151815.035895899</v>
      </c>
      <c r="I669" s="1" t="s">
        <v>23</v>
      </c>
      <c r="J669" s="1">
        <v>380.44</v>
      </c>
      <c r="K669" s="1">
        <v>381.18570999999997</v>
      </c>
      <c r="L669" s="7">
        <f>G669-J669</f>
        <v>-0.26157000000000608</v>
      </c>
      <c r="M669" s="1" t="s">
        <v>1480</v>
      </c>
      <c r="N669" s="2">
        <v>20793854.0871673</v>
      </c>
      <c r="O669" s="1">
        <v>14112409.850338699</v>
      </c>
      <c r="P669" s="1">
        <v>11610476.1640149</v>
      </c>
      <c r="Q669" s="1">
        <f>STDEV(N669:P669)</f>
        <v>4747557.2550532958</v>
      </c>
      <c r="R669" s="1">
        <v>15505580.033840299</v>
      </c>
      <c r="S669" s="1">
        <v>1.9014768751434419E-2</v>
      </c>
    </row>
    <row r="670" spans="1:19" x14ac:dyDescent="0.3">
      <c r="A670" s="1">
        <v>810</v>
      </c>
      <c r="B670" s="1" t="s">
        <v>2121</v>
      </c>
      <c r="C670" s="1" t="s">
        <v>2122</v>
      </c>
      <c r="D670" s="1">
        <v>11.436</v>
      </c>
      <c r="E670" s="1" t="s">
        <v>2123</v>
      </c>
      <c r="F670" s="1" t="s">
        <v>2124</v>
      </c>
      <c r="G670" s="1">
        <v>470.33589000000001</v>
      </c>
      <c r="H670" s="2">
        <v>3066848074.1304498</v>
      </c>
      <c r="I670" s="1" t="s">
        <v>156</v>
      </c>
      <c r="J670" s="1">
        <v>470.59771999999998</v>
      </c>
      <c r="K670" s="1">
        <v>453.33258000000001</v>
      </c>
      <c r="L670" s="7">
        <f>G670-J670</f>
        <v>-0.26182999999997492</v>
      </c>
      <c r="M670" s="1" t="s">
        <v>2125</v>
      </c>
      <c r="N670" s="2">
        <v>7866309.19382462</v>
      </c>
      <c r="O670" s="1">
        <v>6656848.3717406299</v>
      </c>
      <c r="P670" s="1">
        <v>4269258.8319434598</v>
      </c>
      <c r="Q670" s="1">
        <f>STDEV(N670:P670)</f>
        <v>1830398.4355240951</v>
      </c>
      <c r="R670" s="1">
        <v>6264138.7991695702</v>
      </c>
      <c r="S670" s="1">
        <v>7.6818248935636218E-3</v>
      </c>
    </row>
    <row r="671" spans="1:19" x14ac:dyDescent="0.3">
      <c r="A671" s="1">
        <v>922</v>
      </c>
      <c r="B671" s="1" t="s">
        <v>4459</v>
      </c>
      <c r="C671" s="1" t="s">
        <v>4460</v>
      </c>
      <c r="D671" s="1">
        <v>8.6340000000000003</v>
      </c>
      <c r="E671" s="1" t="s">
        <v>4461</v>
      </c>
      <c r="F671" s="1" t="s">
        <v>4462</v>
      </c>
      <c r="G671" s="1">
        <v>345.08287999999999</v>
      </c>
      <c r="H671" s="2">
        <v>424505.61205526203</v>
      </c>
      <c r="I671" s="1" t="s">
        <v>17</v>
      </c>
      <c r="J671" s="1">
        <v>345.34656000000001</v>
      </c>
      <c r="K671" s="1">
        <v>344.07560999999998</v>
      </c>
      <c r="L671" s="7">
        <f>G671-J671</f>
        <v>-0.26368000000002212</v>
      </c>
      <c r="M671" s="1" t="s">
        <v>4426</v>
      </c>
      <c r="N671" s="2">
        <v>424505.61205526203</v>
      </c>
      <c r="O671" s="1">
        <v>113794.534975324</v>
      </c>
      <c r="P671" s="1">
        <v>107732.862354379</v>
      </c>
      <c r="Q671" s="1">
        <f>STDEV(N671:P671)</f>
        <v>181164.33251249953</v>
      </c>
      <c r="R671" s="1">
        <v>215344.33646165501</v>
      </c>
      <c r="S671" s="1">
        <v>2.640805923295285E-4</v>
      </c>
    </row>
    <row r="672" spans="1:19" x14ac:dyDescent="0.3">
      <c r="A672" s="1">
        <v>701</v>
      </c>
      <c r="B672" s="1" t="s">
        <v>2411</v>
      </c>
      <c r="C672" s="1" t="s">
        <v>2412</v>
      </c>
      <c r="D672" s="1">
        <v>9.1010000000000009</v>
      </c>
      <c r="E672" s="1" t="s">
        <v>2413</v>
      </c>
      <c r="F672" s="1" t="s">
        <v>2414</v>
      </c>
      <c r="G672" s="1">
        <v>562.25715000000002</v>
      </c>
      <c r="H672" s="2">
        <v>4509885.05019465</v>
      </c>
      <c r="I672" s="1" t="s">
        <v>17</v>
      </c>
      <c r="J672" s="1">
        <v>562.52084000000002</v>
      </c>
      <c r="K672" s="1">
        <v>561.24986999999999</v>
      </c>
      <c r="L672" s="7">
        <f>G672-J672</f>
        <v>-0.26368999999999687</v>
      </c>
      <c r="M672" s="1" t="s">
        <v>2415</v>
      </c>
      <c r="N672" s="2">
        <v>3692454.7842864702</v>
      </c>
      <c r="O672" s="1">
        <v>4033795.4039499601</v>
      </c>
      <c r="P672" s="1">
        <v>4509885.05019465</v>
      </c>
      <c r="Q672" s="1">
        <f>STDEV(N672:P672)</f>
        <v>410562.01511188026</v>
      </c>
      <c r="R672" s="1">
        <v>4078711.7461436936</v>
      </c>
      <c r="S672" s="1">
        <v>5.0017968039518237E-3</v>
      </c>
    </row>
    <row r="673" spans="1:19" x14ac:dyDescent="0.3">
      <c r="A673" s="1">
        <v>360</v>
      </c>
      <c r="B673" s="1" t="s">
        <v>2970</v>
      </c>
      <c r="C673" s="1" t="s">
        <v>2971</v>
      </c>
      <c r="D673" s="1">
        <v>16.437999999999999</v>
      </c>
      <c r="E673" s="1" t="s">
        <v>2972</v>
      </c>
      <c r="F673" s="1" t="s">
        <v>2973</v>
      </c>
      <c r="G673" s="1">
        <v>429.36919</v>
      </c>
      <c r="H673" s="2">
        <v>50826925.549139</v>
      </c>
      <c r="I673" s="1" t="s">
        <v>23</v>
      </c>
      <c r="J673" s="1">
        <v>429.63522</v>
      </c>
      <c r="K673" s="1">
        <v>430.37646000000001</v>
      </c>
      <c r="L673" s="7">
        <f>G673-J673</f>
        <v>-0.26603000000000065</v>
      </c>
      <c r="M673" s="1" t="s">
        <v>2974</v>
      </c>
      <c r="N673" s="2">
        <v>1765658.1662075601</v>
      </c>
      <c r="O673" s="1">
        <v>2207401.0009218799</v>
      </c>
      <c r="P673" s="1">
        <v>2087300.9370866099</v>
      </c>
      <c r="Q673" s="1">
        <f>STDEV(N673:P673)</f>
        <v>228405.64405367032</v>
      </c>
      <c r="R673" s="1">
        <v>2020120.0347386834</v>
      </c>
      <c r="S673" s="1">
        <v>2.4773091510838581E-3</v>
      </c>
    </row>
    <row r="674" spans="1:19" x14ac:dyDescent="0.3">
      <c r="A674" s="1">
        <v>292</v>
      </c>
      <c r="B674" s="1" t="s">
        <v>1430</v>
      </c>
      <c r="C674" s="1" t="s">
        <v>1431</v>
      </c>
      <c r="D674" s="1">
        <v>3.5999999999999997E-2</v>
      </c>
      <c r="E674" s="1" t="s">
        <v>1432</v>
      </c>
      <c r="F674" s="1" t="s">
        <v>1433</v>
      </c>
      <c r="G674" s="1">
        <v>250.15540999999999</v>
      </c>
      <c r="H674" s="2">
        <v>27597018.6433868</v>
      </c>
      <c r="I674" s="1" t="s">
        <v>17</v>
      </c>
      <c r="J674" s="1">
        <v>250.4228</v>
      </c>
      <c r="K674" s="1">
        <v>249.14813000000001</v>
      </c>
      <c r="L674" s="7">
        <f>G674-J674</f>
        <v>-0.26739000000000601</v>
      </c>
      <c r="M674" s="1" t="s">
        <v>1434</v>
      </c>
      <c r="N674" s="2">
        <v>1892857.7193567301</v>
      </c>
      <c r="O674" s="1">
        <v>23522821.188537698</v>
      </c>
      <c r="P674" s="1">
        <v>27597018.6433868</v>
      </c>
      <c r="Q674" s="1">
        <f>STDEV(N674:P674)</f>
        <v>13815198.716073757</v>
      </c>
      <c r="R674" s="1">
        <v>17670899.183760408</v>
      </c>
      <c r="S674" s="1">
        <v>2.1670138161603205E-2</v>
      </c>
    </row>
    <row r="675" spans="1:19" x14ac:dyDescent="0.3">
      <c r="A675" s="1">
        <v>467</v>
      </c>
      <c r="B675" s="1" t="s">
        <v>3862</v>
      </c>
      <c r="C675" s="1" t="s">
        <v>3863</v>
      </c>
      <c r="D675" s="1">
        <v>7.79</v>
      </c>
      <c r="E675" s="1" t="s">
        <v>3864</v>
      </c>
      <c r="F675" s="1" t="s">
        <v>3865</v>
      </c>
      <c r="G675" s="1">
        <v>420.13994000000002</v>
      </c>
      <c r="H675" s="2">
        <v>59371171.252989598</v>
      </c>
      <c r="I675" s="1" t="s">
        <v>17</v>
      </c>
      <c r="J675" s="1">
        <v>420.40985999999998</v>
      </c>
      <c r="K675" s="1">
        <v>419.13265999999999</v>
      </c>
      <c r="L675" s="7">
        <f>G675-J675</f>
        <v>-0.26991999999995642</v>
      </c>
      <c r="M675" s="1" t="s">
        <v>3866</v>
      </c>
      <c r="N675" s="2">
        <v>503731.060920875</v>
      </c>
      <c r="O675" s="1">
        <v>1003112.47666476</v>
      </c>
      <c r="P675" s="1">
        <v>605926.42729110306</v>
      </c>
      <c r="Q675" s="1">
        <f>STDEV(N675:P675)</f>
        <v>263812.57523570454</v>
      </c>
      <c r="R675" s="1">
        <v>704256.65495891264</v>
      </c>
      <c r="S675" s="1">
        <v>8.6364246977388437E-4</v>
      </c>
    </row>
    <row r="676" spans="1:19" x14ac:dyDescent="0.3">
      <c r="A676" s="1">
        <v>233</v>
      </c>
      <c r="B676" s="1" t="s">
        <v>3502</v>
      </c>
      <c r="C676" s="1" t="s">
        <v>3503</v>
      </c>
      <c r="D676" s="1">
        <v>17.997</v>
      </c>
      <c r="E676" s="1" t="s">
        <v>3504</v>
      </c>
      <c r="F676" s="1" t="s">
        <v>3505</v>
      </c>
      <c r="G676" s="1">
        <v>449.31022999999999</v>
      </c>
      <c r="H676" s="2">
        <v>1654693.11495748</v>
      </c>
      <c r="I676" s="1" t="s">
        <v>1154</v>
      </c>
      <c r="J676" s="1">
        <v>449.58026000000001</v>
      </c>
      <c r="K676" s="1">
        <v>491.34393</v>
      </c>
      <c r="L676" s="7">
        <f>G676-J676</f>
        <v>-0.27003000000001975</v>
      </c>
      <c r="M676" s="1" t="s">
        <v>24</v>
      </c>
      <c r="N676" s="2">
        <v>647619.82281154697</v>
      </c>
      <c r="O676" s="1">
        <v>1654693.11495748</v>
      </c>
      <c r="P676" s="1">
        <v>847463.32191470102</v>
      </c>
      <c r="Q676" s="1">
        <f>STDEV(N676:P676)</f>
        <v>533190.70676186855</v>
      </c>
      <c r="R676" s="1">
        <v>1049925.4198945761</v>
      </c>
      <c r="S676" s="1">
        <v>1.2875422281512353E-3</v>
      </c>
    </row>
    <row r="677" spans="1:19" x14ac:dyDescent="0.3">
      <c r="A677" s="1">
        <v>980</v>
      </c>
      <c r="B677" s="1" t="s">
        <v>4467</v>
      </c>
      <c r="C677" s="1" t="s">
        <v>4468</v>
      </c>
      <c r="D677" s="1">
        <v>8.8840000000000003</v>
      </c>
      <c r="E677" s="1" t="s">
        <v>4469</v>
      </c>
      <c r="F677" s="1" t="s">
        <v>4470</v>
      </c>
      <c r="G677" s="1">
        <v>348.11946999999998</v>
      </c>
      <c r="H677" s="2">
        <v>979092.59358335997</v>
      </c>
      <c r="I677" s="1" t="s">
        <v>17</v>
      </c>
      <c r="J677" s="1">
        <v>348.39026000000001</v>
      </c>
      <c r="K677" s="1">
        <v>347.11171999999999</v>
      </c>
      <c r="L677" s="7">
        <f>G677-J677</f>
        <v>-0.27079000000003361</v>
      </c>
      <c r="M677" s="1" t="s">
        <v>4471</v>
      </c>
      <c r="N677" s="2">
        <v>227861.56578719601</v>
      </c>
      <c r="O677" s="1">
        <v>222319.72444353401</v>
      </c>
      <c r="P677" s="1">
        <v>173623.73441734901</v>
      </c>
      <c r="Q677" s="1">
        <f>STDEV(N677:P677)</f>
        <v>29843.351581808329</v>
      </c>
      <c r="R677" s="1">
        <v>207935.00821602636</v>
      </c>
      <c r="S677" s="1">
        <v>2.5499440123660452E-4</v>
      </c>
    </row>
    <row r="678" spans="1:19" x14ac:dyDescent="0.3">
      <c r="A678" s="1">
        <v>566</v>
      </c>
      <c r="B678" s="1" t="s">
        <v>1145</v>
      </c>
      <c r="C678" s="1" t="s">
        <v>1146</v>
      </c>
      <c r="D678" s="1">
        <v>9.8260000000000005</v>
      </c>
      <c r="E678" s="1" t="s">
        <v>1147</v>
      </c>
      <c r="F678" s="1" t="s">
        <v>1148</v>
      </c>
      <c r="G678" s="1">
        <v>406.28397999999999</v>
      </c>
      <c r="H678" s="2">
        <v>38970067.600121997</v>
      </c>
      <c r="I678" s="1" t="s">
        <v>23</v>
      </c>
      <c r="J678" s="1">
        <v>406.55552</v>
      </c>
      <c r="K678" s="1">
        <v>407.29127</v>
      </c>
      <c r="L678" s="7">
        <f>G678-J678</f>
        <v>-0.27154000000001588</v>
      </c>
      <c r="M678" s="1" t="s">
        <v>1149</v>
      </c>
      <c r="N678" s="2">
        <v>38970067.600121997</v>
      </c>
      <c r="O678" s="1">
        <v>33170010.546465799</v>
      </c>
      <c r="P678" s="1">
        <v>21205635.7715743</v>
      </c>
      <c r="Q678" s="1">
        <f>STDEV(N678:P678)</f>
        <v>9058715.5433395188</v>
      </c>
      <c r="R678" s="1">
        <v>31115237.972720698</v>
      </c>
      <c r="S678" s="1">
        <v>3.8157170090114989E-2</v>
      </c>
    </row>
    <row r="679" spans="1:19" x14ac:dyDescent="0.3">
      <c r="A679" s="1">
        <v>145</v>
      </c>
      <c r="B679" s="1" t="s">
        <v>3800</v>
      </c>
      <c r="C679" s="1" t="s">
        <v>3801</v>
      </c>
      <c r="D679" s="1">
        <v>14.388</v>
      </c>
      <c r="E679" s="1" t="s">
        <v>3802</v>
      </c>
      <c r="F679" s="1" t="s">
        <v>3803</v>
      </c>
      <c r="G679" s="1">
        <v>450.34609</v>
      </c>
      <c r="H679" s="2">
        <v>31684818.709589802</v>
      </c>
      <c r="I679" s="1" t="s">
        <v>23</v>
      </c>
      <c r="J679" s="1">
        <v>450.61775999999998</v>
      </c>
      <c r="K679" s="1">
        <v>451.35336000000001</v>
      </c>
      <c r="L679" s="7">
        <f>G679-J679</f>
        <v>-0.27166999999997188</v>
      </c>
      <c r="M679" s="1" t="s">
        <v>3486</v>
      </c>
      <c r="N679" s="2">
        <v>790585.65542867</v>
      </c>
      <c r="O679" s="1">
        <v>769121.74836819305</v>
      </c>
      <c r="P679" s="1">
        <v>700860.96973027405</v>
      </c>
      <c r="Q679" s="1">
        <f>STDEV(N679:P679)</f>
        <v>46852.165425288702</v>
      </c>
      <c r="R679" s="1">
        <v>753522.79117571237</v>
      </c>
      <c r="S679" s="1">
        <v>9.2405840941591139E-4</v>
      </c>
    </row>
    <row r="680" spans="1:19" x14ac:dyDescent="0.3">
      <c r="A680" s="1">
        <v>389</v>
      </c>
      <c r="B680" s="1" t="s">
        <v>3279</v>
      </c>
      <c r="C680" s="1" t="s">
        <v>3280</v>
      </c>
      <c r="D680" s="1">
        <v>1.4159999999999999</v>
      </c>
      <c r="E680" s="1" t="s">
        <v>3281</v>
      </c>
      <c r="F680" s="1" t="s">
        <v>3282</v>
      </c>
      <c r="G680" s="1">
        <v>289.05443000000002</v>
      </c>
      <c r="H680" s="2">
        <v>1780045.0712317</v>
      </c>
      <c r="I680" s="1" t="s">
        <v>23</v>
      </c>
      <c r="J680" s="1">
        <v>289.32636000000002</v>
      </c>
      <c r="K680" s="1">
        <v>290.06171000000001</v>
      </c>
      <c r="L680" s="7">
        <f>G680-J680</f>
        <v>-0.27192999999999756</v>
      </c>
      <c r="M680" s="1" t="s">
        <v>24</v>
      </c>
      <c r="N680" s="2">
        <v>1011296.22810574</v>
      </c>
      <c r="O680" s="1">
        <v>1780045.0712317</v>
      </c>
      <c r="P680" s="1">
        <v>1344090.1467825701</v>
      </c>
      <c r="Q680" s="1">
        <f>STDEV(N680:P680)</f>
        <v>385526.3225486317</v>
      </c>
      <c r="R680" s="1">
        <v>1378477.1487066702</v>
      </c>
      <c r="S680" s="1">
        <v>1.6904510604949083E-3</v>
      </c>
    </row>
    <row r="681" spans="1:19" x14ac:dyDescent="0.3">
      <c r="A681" s="1">
        <v>128</v>
      </c>
      <c r="B681" s="1" t="s">
        <v>88</v>
      </c>
      <c r="C681" s="1" t="s">
        <v>89</v>
      </c>
      <c r="D681" s="1">
        <v>12.821999999999999</v>
      </c>
      <c r="E681" s="1" t="s">
        <v>90</v>
      </c>
      <c r="F681" s="1" t="s">
        <v>91</v>
      </c>
      <c r="G681" s="1">
        <v>634.44322</v>
      </c>
      <c r="H681" s="2">
        <v>20325146381.749699</v>
      </c>
      <c r="I681" s="1" t="s">
        <v>23</v>
      </c>
      <c r="J681" s="1">
        <v>634.71597999999994</v>
      </c>
      <c r="K681" s="1">
        <v>635.45050000000003</v>
      </c>
      <c r="L681" s="7">
        <f>G681-J681</f>
        <v>-0.27275999999994838</v>
      </c>
      <c r="M681" s="1" t="s">
        <v>92</v>
      </c>
      <c r="N681" s="2">
        <v>16247059.181555901</v>
      </c>
      <c r="O681" s="1">
        <v>1869116881.9577601</v>
      </c>
      <c r="P681" s="1">
        <v>1486216742.75792</v>
      </c>
      <c r="Q681" s="1">
        <f>STDEV(N681:P681)</f>
        <v>978140239.38182271</v>
      </c>
      <c r="R681" s="1">
        <v>1123860227.9657452</v>
      </c>
      <c r="S681" s="1">
        <v>1.3782097991216056</v>
      </c>
    </row>
    <row r="682" spans="1:19" x14ac:dyDescent="0.3">
      <c r="A682" s="1">
        <v>798</v>
      </c>
      <c r="B682" s="1" t="s">
        <v>2541</v>
      </c>
      <c r="C682" s="1" t="s">
        <v>2542</v>
      </c>
      <c r="D682" s="1">
        <v>18.227</v>
      </c>
      <c r="E682" s="1" t="s">
        <v>2543</v>
      </c>
      <c r="F682" s="1" t="s">
        <v>2544</v>
      </c>
      <c r="G682" s="1">
        <v>396.37311999999997</v>
      </c>
      <c r="H682" s="2">
        <v>48690614.063522197</v>
      </c>
      <c r="I682" s="1" t="s">
        <v>23</v>
      </c>
      <c r="J682" s="1">
        <v>396.64836000000003</v>
      </c>
      <c r="K682" s="1">
        <v>397.38040000000001</v>
      </c>
      <c r="L682" s="7">
        <f>G682-J682</f>
        <v>-0.27524000000005344</v>
      </c>
      <c r="M682" s="1" t="s">
        <v>2545</v>
      </c>
      <c r="N682" s="2">
        <v>5497998.0517959697</v>
      </c>
      <c r="O682" s="1">
        <v>3062829.66615381</v>
      </c>
      <c r="P682" s="1">
        <v>1208937.4814854001</v>
      </c>
      <c r="Q682" s="1">
        <f>STDEV(N682:P682)</f>
        <v>2151085.0701680188</v>
      </c>
      <c r="R682" s="1">
        <v>3256588.3998117265</v>
      </c>
      <c r="S682" s="1">
        <v>3.9936123128498776E-3</v>
      </c>
    </row>
    <row r="683" spans="1:19" x14ac:dyDescent="0.3">
      <c r="A683" s="1">
        <v>811</v>
      </c>
      <c r="B683" s="1" t="s">
        <v>523</v>
      </c>
      <c r="C683" s="1" t="s">
        <v>524</v>
      </c>
      <c r="D683" s="1">
        <v>12.438000000000001</v>
      </c>
      <c r="E683" s="1" t="s">
        <v>525</v>
      </c>
      <c r="F683" s="1" t="s">
        <v>526</v>
      </c>
      <c r="G683" s="1">
        <v>470.32087000000001</v>
      </c>
      <c r="H683" s="2">
        <v>160982476.85419199</v>
      </c>
      <c r="I683" s="1" t="s">
        <v>23</v>
      </c>
      <c r="J683" s="1">
        <v>470.59771999999998</v>
      </c>
      <c r="K683" s="1">
        <v>471.32821000000001</v>
      </c>
      <c r="L683" s="7">
        <f>G683-J683</f>
        <v>-0.27684999999996762</v>
      </c>
      <c r="M683" s="1" t="s">
        <v>527</v>
      </c>
      <c r="N683" s="2">
        <v>160982476.85419199</v>
      </c>
      <c r="O683" s="1">
        <v>96766478.629352599</v>
      </c>
      <c r="P683" s="1">
        <v>35735201.929974698</v>
      </c>
      <c r="Q683" s="1">
        <f>STDEV(N683:P683)</f>
        <v>62630385.383229487</v>
      </c>
      <c r="R683" s="1">
        <v>97828052.471173093</v>
      </c>
      <c r="S683" s="1">
        <v>0.11996828181098589</v>
      </c>
    </row>
    <row r="684" spans="1:19" x14ac:dyDescent="0.3">
      <c r="A684" s="1">
        <v>185</v>
      </c>
      <c r="B684" s="1" t="s">
        <v>633</v>
      </c>
      <c r="C684" s="1" t="s">
        <v>634</v>
      </c>
      <c r="D684" s="1">
        <v>12.391</v>
      </c>
      <c r="E684" s="1" t="s">
        <v>635</v>
      </c>
      <c r="F684" s="1" t="s">
        <v>636</v>
      </c>
      <c r="G684" s="1">
        <v>602.39824999999996</v>
      </c>
      <c r="H684" s="2">
        <v>1447354764.31742</v>
      </c>
      <c r="I684" s="1" t="s">
        <v>150</v>
      </c>
      <c r="J684" s="1">
        <v>602.67565999999999</v>
      </c>
      <c r="K684" s="1">
        <v>625.38741000000005</v>
      </c>
      <c r="L684" s="7">
        <f>G684-J684</f>
        <v>-0.27741000000003169</v>
      </c>
      <c r="M684" s="1" t="s">
        <v>637</v>
      </c>
      <c r="N684" s="2">
        <v>142641410.14019099</v>
      </c>
      <c r="O684" s="1">
        <v>85740805.882403299</v>
      </c>
      <c r="P684" s="1">
        <v>18297144.194502901</v>
      </c>
      <c r="Q684" s="1">
        <f>STDEV(N684:P684)</f>
        <v>62246583.226638973</v>
      </c>
      <c r="R684" s="1">
        <v>82226453.405699059</v>
      </c>
      <c r="S684" s="1">
        <v>0.10083576321218893</v>
      </c>
    </row>
    <row r="685" spans="1:19" x14ac:dyDescent="0.3">
      <c r="A685" s="1">
        <v>162</v>
      </c>
      <c r="B685" s="1" t="s">
        <v>3714</v>
      </c>
      <c r="C685" s="1" t="s">
        <v>3715</v>
      </c>
      <c r="D685" s="1">
        <v>10.026</v>
      </c>
      <c r="E685" s="1" t="s">
        <v>3716</v>
      </c>
      <c r="F685" s="1" t="s">
        <v>3717</v>
      </c>
      <c r="G685" s="1">
        <v>504.34242</v>
      </c>
      <c r="H685" s="2">
        <v>48527097.576682001</v>
      </c>
      <c r="I685" s="1" t="s">
        <v>17</v>
      </c>
      <c r="J685" s="1">
        <v>504.62054000000001</v>
      </c>
      <c r="K685" s="1">
        <v>503.33514000000002</v>
      </c>
      <c r="L685" s="7">
        <f>G685-J685</f>
        <v>-0.27812000000000126</v>
      </c>
      <c r="M685" s="1" t="s">
        <v>3718</v>
      </c>
      <c r="N685" s="2">
        <v>546202.21340554405</v>
      </c>
      <c r="O685" s="1">
        <v>1021651.39732454</v>
      </c>
      <c r="P685" s="1">
        <v>985904.94122001296</v>
      </c>
      <c r="Q685" s="1">
        <f>STDEV(N685:P685)</f>
        <v>264785.51837942249</v>
      </c>
      <c r="R685" s="1">
        <v>851252.8506500324</v>
      </c>
      <c r="S685" s="1">
        <v>1.043906520670855E-3</v>
      </c>
    </row>
    <row r="686" spans="1:19" x14ac:dyDescent="0.3">
      <c r="A686" s="1">
        <v>550</v>
      </c>
      <c r="B686" s="1" t="s">
        <v>1977</v>
      </c>
      <c r="C686" s="1" t="s">
        <v>1978</v>
      </c>
      <c r="D686" s="1">
        <v>9.5510000000000002</v>
      </c>
      <c r="E686" s="1" t="s">
        <v>1979</v>
      </c>
      <c r="F686" s="1" t="s">
        <v>1980</v>
      </c>
      <c r="G686" s="1">
        <v>655.29954999999995</v>
      </c>
      <c r="H686" s="2">
        <v>9579849.7478384301</v>
      </c>
      <c r="I686" s="1" t="s">
        <v>23</v>
      </c>
      <c r="J686" s="1">
        <v>655.57799999999997</v>
      </c>
      <c r="K686" s="1">
        <v>656.30682000000002</v>
      </c>
      <c r="L686" s="7">
        <f>G686-J686</f>
        <v>-0.27845000000002074</v>
      </c>
      <c r="M686" s="1" t="s">
        <v>1981</v>
      </c>
      <c r="N686" s="2">
        <v>9579849.7478384301</v>
      </c>
      <c r="O686" s="1">
        <v>7188844.6078080498</v>
      </c>
      <c r="P686" s="1">
        <v>5705433.0734455604</v>
      </c>
      <c r="Q686" s="1">
        <f>STDEV(N686:P686)</f>
        <v>1954845.2592956806</v>
      </c>
      <c r="R686" s="1">
        <v>7491375.8096973477</v>
      </c>
      <c r="S686" s="1">
        <v>9.1868074809585022E-3</v>
      </c>
    </row>
    <row r="687" spans="1:19" x14ac:dyDescent="0.3">
      <c r="A687" s="1">
        <v>129</v>
      </c>
      <c r="B687" s="1" t="s">
        <v>4009</v>
      </c>
      <c r="C687" s="1" t="s">
        <v>4010</v>
      </c>
      <c r="D687" s="1">
        <v>15.522</v>
      </c>
      <c r="E687" s="1" t="s">
        <v>4011</v>
      </c>
      <c r="F687" s="1" t="s">
        <v>4012</v>
      </c>
      <c r="G687" s="1">
        <v>608.39936999999998</v>
      </c>
      <c r="H687" s="2">
        <v>721569.80028971704</v>
      </c>
      <c r="I687" s="1" t="s">
        <v>23</v>
      </c>
      <c r="J687" s="1">
        <v>608.67870000000005</v>
      </c>
      <c r="K687" s="1">
        <v>609.40664000000004</v>
      </c>
      <c r="L687" s="7">
        <f>G687-J687</f>
        <v>-0.27933000000007269</v>
      </c>
      <c r="M687" s="1" t="s">
        <v>24</v>
      </c>
      <c r="N687" s="2">
        <v>721569.80028971704</v>
      </c>
      <c r="O687" s="1">
        <v>641100.230982785</v>
      </c>
      <c r="P687" s="1">
        <v>434740.03947278502</v>
      </c>
      <c r="Q687" s="1">
        <f>STDEV(N687:P687)</f>
        <v>147947.73396641607</v>
      </c>
      <c r="R687" s="1">
        <v>599136.69024842908</v>
      </c>
      <c r="S687" s="1">
        <v>7.3473198620819873E-4</v>
      </c>
    </row>
    <row r="688" spans="1:19" x14ac:dyDescent="0.3">
      <c r="A688" s="1">
        <v>655</v>
      </c>
      <c r="B688" s="1" t="s">
        <v>1781</v>
      </c>
      <c r="C688" s="1" t="s">
        <v>1782</v>
      </c>
      <c r="D688" s="1">
        <v>0.88700000000000001</v>
      </c>
      <c r="E688" s="1" t="s">
        <v>1783</v>
      </c>
      <c r="F688" s="1" t="s">
        <v>1784</v>
      </c>
      <c r="G688" s="1">
        <v>378.09456999999998</v>
      </c>
      <c r="H688" s="2">
        <v>10608886.0810766</v>
      </c>
      <c r="I688" s="1" t="s">
        <v>23</v>
      </c>
      <c r="J688" s="1">
        <v>378.37472000000002</v>
      </c>
      <c r="K688" s="1">
        <v>379.10185000000001</v>
      </c>
      <c r="L688" s="7">
        <f>G688-J688</f>
        <v>-0.28015000000004875</v>
      </c>
      <c r="M688" s="1" t="s">
        <v>1785</v>
      </c>
      <c r="N688" s="2">
        <v>10608886.0810766</v>
      </c>
      <c r="O688" s="1">
        <v>8844161.4419982098</v>
      </c>
      <c r="P688" s="1">
        <v>9521316.4662176799</v>
      </c>
      <c r="Q688" s="1">
        <f>STDEV(N688:P688)</f>
        <v>890280.82140416082</v>
      </c>
      <c r="R688" s="1">
        <v>9658121.3297641631</v>
      </c>
      <c r="S688" s="1">
        <v>1.1843926074223594E-2</v>
      </c>
    </row>
    <row r="689" spans="1:19" x14ac:dyDescent="0.3">
      <c r="A689" s="1">
        <v>431</v>
      </c>
      <c r="B689" s="1" t="s">
        <v>4335</v>
      </c>
      <c r="C689" s="1" t="s">
        <v>4336</v>
      </c>
      <c r="D689" s="1">
        <v>6.7679999999999998</v>
      </c>
      <c r="E689" s="1" t="s">
        <v>4337</v>
      </c>
      <c r="F689" s="1" t="s">
        <v>4338</v>
      </c>
      <c r="G689" s="1">
        <v>407.22066000000001</v>
      </c>
      <c r="H689" s="2">
        <v>4247248.9269816699</v>
      </c>
      <c r="I689" s="1" t="s">
        <v>17</v>
      </c>
      <c r="J689" s="1">
        <v>407.50205999999997</v>
      </c>
      <c r="K689" s="1">
        <v>406.21337999999997</v>
      </c>
      <c r="L689" s="7">
        <f>G689-J689</f>
        <v>-0.28139999999996235</v>
      </c>
      <c r="M689" s="1" t="s">
        <v>24</v>
      </c>
      <c r="N689" s="2">
        <v>259805.372604768</v>
      </c>
      <c r="O689" s="1">
        <v>305990.91382508999</v>
      </c>
      <c r="P689" s="1">
        <v>306370.18983993802</v>
      </c>
      <c r="Q689" s="1">
        <f>STDEV(N689:P689)</f>
        <v>26775.393779408387</v>
      </c>
      <c r="R689" s="1">
        <v>290722.15875659866</v>
      </c>
      <c r="S689" s="1">
        <v>3.5651775732412853E-4</v>
      </c>
    </row>
    <row r="690" spans="1:19" x14ac:dyDescent="0.3">
      <c r="A690" s="1">
        <v>396</v>
      </c>
      <c r="B690" s="1" t="s">
        <v>3035</v>
      </c>
      <c r="C690" s="1" t="s">
        <v>3036</v>
      </c>
      <c r="D690" s="1">
        <v>9.2509999999999994</v>
      </c>
      <c r="E690" s="1" t="s">
        <v>3037</v>
      </c>
      <c r="F690" s="1" t="s">
        <v>3038</v>
      </c>
      <c r="G690" s="1">
        <v>261.03370000000001</v>
      </c>
      <c r="H690" s="2">
        <v>1048332946.88336</v>
      </c>
      <c r="I690" s="1" t="s">
        <v>17</v>
      </c>
      <c r="J690" s="1">
        <v>261.31626</v>
      </c>
      <c r="K690" s="1">
        <v>260.02643</v>
      </c>
      <c r="L690" s="7">
        <f>G690-J690</f>
        <v>-0.28255999999998949</v>
      </c>
      <c r="M690" s="1" t="s">
        <v>3039</v>
      </c>
      <c r="N690" s="2">
        <v>1675745.27600511</v>
      </c>
      <c r="O690" s="1">
        <v>1992569.6929619301</v>
      </c>
      <c r="P690" s="1">
        <v>1974220.2237031499</v>
      </c>
      <c r="Q690" s="1">
        <f>STDEV(N690:P690)</f>
        <v>177858.42150685264</v>
      </c>
      <c r="R690" s="1">
        <v>1880845.0642233966</v>
      </c>
      <c r="S690" s="1">
        <v>2.3065137760362132E-3</v>
      </c>
    </row>
    <row r="691" spans="1:19" x14ac:dyDescent="0.3">
      <c r="A691" s="1">
        <v>927</v>
      </c>
      <c r="B691" s="1" t="s">
        <v>2148</v>
      </c>
      <c r="C691" s="1" t="s">
        <v>2149</v>
      </c>
      <c r="D691" s="1">
        <v>0.73799999999999999</v>
      </c>
      <c r="E691" s="1" t="s">
        <v>2150</v>
      </c>
      <c r="F691" s="1" t="s">
        <v>2151</v>
      </c>
      <c r="G691" s="1">
        <v>301.05443000000002</v>
      </c>
      <c r="H691" s="2">
        <v>7431518.6843443299</v>
      </c>
      <c r="I691" s="1" t="s">
        <v>23</v>
      </c>
      <c r="J691" s="1">
        <v>301.33706000000001</v>
      </c>
      <c r="K691" s="1">
        <v>302.06171000000001</v>
      </c>
      <c r="L691" s="7">
        <f>G691-J691</f>
        <v>-0.28262999999998328</v>
      </c>
      <c r="M691" s="1" t="s">
        <v>2152</v>
      </c>
      <c r="N691" s="2">
        <v>3595512.7896186602</v>
      </c>
      <c r="O691" s="1">
        <v>7431518.6843443299</v>
      </c>
      <c r="P691" s="1">
        <v>7091016.5087286402</v>
      </c>
      <c r="Q691" s="1">
        <f>STDEV(N691:P691)</f>
        <v>2123261.2182788053</v>
      </c>
      <c r="R691" s="1">
        <v>6039349.3275638772</v>
      </c>
      <c r="S691" s="1">
        <v>7.4061615639099835E-3</v>
      </c>
    </row>
    <row r="692" spans="1:19" x14ac:dyDescent="0.3">
      <c r="A692" s="1">
        <v>386</v>
      </c>
      <c r="B692" s="1" t="s">
        <v>3871</v>
      </c>
      <c r="C692" s="1" t="s">
        <v>3872</v>
      </c>
      <c r="D692" s="1">
        <v>2.427</v>
      </c>
      <c r="E692" s="1" t="s">
        <v>3873</v>
      </c>
      <c r="F692" s="1" t="s">
        <v>3874</v>
      </c>
      <c r="G692" s="1">
        <v>289.08634999999998</v>
      </c>
      <c r="H692" s="2">
        <v>1320194.68185415</v>
      </c>
      <c r="I692" s="1" t="s">
        <v>17</v>
      </c>
      <c r="J692" s="1">
        <v>289.36941999999999</v>
      </c>
      <c r="K692" s="1">
        <v>288.07907999999998</v>
      </c>
      <c r="L692" s="7">
        <f>G692-J692</f>
        <v>-0.28307000000000926</v>
      </c>
      <c r="M692" s="1" t="s">
        <v>3875</v>
      </c>
      <c r="N692" s="2">
        <v>454292.002214698</v>
      </c>
      <c r="O692" s="1">
        <v>408852.09197706199</v>
      </c>
      <c r="P692" s="1">
        <v>1226019.00800343</v>
      </c>
      <c r="Q692" s="1">
        <f>STDEV(N692:P692)</f>
        <v>459236.52684901765</v>
      </c>
      <c r="R692" s="1">
        <v>696387.70073172997</v>
      </c>
      <c r="S692" s="1">
        <v>8.5399263115972434E-4</v>
      </c>
    </row>
    <row r="693" spans="1:19" x14ac:dyDescent="0.3">
      <c r="A693" s="1">
        <v>149</v>
      </c>
      <c r="B693" s="1" t="s">
        <v>4450</v>
      </c>
      <c r="C693" s="1" t="s">
        <v>4451</v>
      </c>
      <c r="D693" s="1">
        <v>14.601000000000001</v>
      </c>
      <c r="E693" s="1" t="s">
        <v>4452</v>
      </c>
      <c r="F693" s="1" t="s">
        <v>4453</v>
      </c>
      <c r="G693" s="1">
        <v>456.24826999999999</v>
      </c>
      <c r="H693" s="2">
        <v>57841771.366730601</v>
      </c>
      <c r="I693" s="1" t="s">
        <v>17</v>
      </c>
      <c r="J693" s="1">
        <v>456.53138000000001</v>
      </c>
      <c r="K693" s="1">
        <v>455.24099999999999</v>
      </c>
      <c r="L693" s="7">
        <f>G693-J693</f>
        <v>-0.28311000000002196</v>
      </c>
      <c r="M693" s="1" t="s">
        <v>4454</v>
      </c>
      <c r="N693" s="2">
        <v>162333.960689637</v>
      </c>
      <c r="O693" s="1">
        <v>275203.05678950198</v>
      </c>
      <c r="P693" s="1">
        <v>222410.75941638401</v>
      </c>
      <c r="Q693" s="1">
        <f>STDEV(N693:P693)</f>
        <v>56473.712559600586</v>
      </c>
      <c r="R693" s="1">
        <v>219982.59229850766</v>
      </c>
      <c r="S693" s="1">
        <v>2.6976856801023583E-4</v>
      </c>
    </row>
    <row r="694" spans="1:19" x14ac:dyDescent="0.3">
      <c r="A694" s="1">
        <v>604</v>
      </c>
      <c r="B694" s="1" t="s">
        <v>4013</v>
      </c>
      <c r="C694" s="1" t="s">
        <v>4014</v>
      </c>
      <c r="D694" s="1">
        <v>1.571</v>
      </c>
      <c r="E694" s="1" t="s">
        <v>4015</v>
      </c>
      <c r="F694" s="1" t="s">
        <v>4016</v>
      </c>
      <c r="G694" s="1">
        <v>228.0017</v>
      </c>
      <c r="H694" s="2">
        <v>46840586.632916696</v>
      </c>
      <c r="I694" s="1" t="s">
        <v>17</v>
      </c>
      <c r="J694" s="1">
        <v>228.28634</v>
      </c>
      <c r="K694" s="1">
        <v>226.99441999999999</v>
      </c>
      <c r="L694" s="7">
        <f>G694-J694</f>
        <v>-0.28463999999999601</v>
      </c>
      <c r="M694" s="1" t="s">
        <v>4017</v>
      </c>
      <c r="N694" s="2">
        <v>552074.43123859295</v>
      </c>
      <c r="O694" s="1">
        <v>621437.59032656695</v>
      </c>
      <c r="P694" s="1">
        <v>621565.53974188305</v>
      </c>
      <c r="Q694" s="1">
        <f>STDEV(N694:P694)</f>
        <v>40083.82543855752</v>
      </c>
      <c r="R694" s="1">
        <v>598359.18710234761</v>
      </c>
      <c r="S694" s="1">
        <v>7.3377852026277864E-4</v>
      </c>
    </row>
    <row r="695" spans="1:19" x14ac:dyDescent="0.3">
      <c r="A695" s="1">
        <v>236</v>
      </c>
      <c r="B695" s="1" t="s">
        <v>239</v>
      </c>
      <c r="C695" s="1" t="s">
        <v>240</v>
      </c>
      <c r="D695" s="1">
        <v>5.8710000000000004</v>
      </c>
      <c r="E695" s="1" t="s">
        <v>241</v>
      </c>
      <c r="F695" s="1" t="s">
        <v>242</v>
      </c>
      <c r="G695" s="1">
        <v>343.21821999999997</v>
      </c>
      <c r="H695" s="2">
        <v>1028348588.0246201</v>
      </c>
      <c r="I695" s="1" t="s">
        <v>23</v>
      </c>
      <c r="J695" s="1">
        <v>343.50292000000002</v>
      </c>
      <c r="K695" s="1">
        <v>344.22548999999998</v>
      </c>
      <c r="L695" s="7">
        <f>G695-J695</f>
        <v>-0.28470000000004347</v>
      </c>
      <c r="M695" s="1" t="s">
        <v>243</v>
      </c>
      <c r="N695" s="2">
        <v>149919016.532002</v>
      </c>
      <c r="O695" s="1">
        <v>230107479.45070401</v>
      </c>
      <c r="P695" s="1">
        <v>399247077.74809003</v>
      </c>
      <c r="Q695" s="1">
        <f>STDEV(N695:P695)</f>
        <v>127281103.21072696</v>
      </c>
      <c r="R695" s="1">
        <v>259757857.91026536</v>
      </c>
      <c r="S695" s="1">
        <v>0.31854568411836093</v>
      </c>
    </row>
    <row r="696" spans="1:19" x14ac:dyDescent="0.3">
      <c r="A696" s="1">
        <v>897</v>
      </c>
      <c r="B696" s="1" t="s">
        <v>3226</v>
      </c>
      <c r="C696" s="1" t="s">
        <v>3227</v>
      </c>
      <c r="D696" s="1">
        <v>1.514</v>
      </c>
      <c r="E696" s="1" t="s">
        <v>3228</v>
      </c>
      <c r="F696" s="1" t="s">
        <v>3229</v>
      </c>
      <c r="G696" s="1">
        <v>196.00101000000001</v>
      </c>
      <c r="H696" s="2">
        <v>27362265.213411499</v>
      </c>
      <c r="I696" s="1" t="s">
        <v>3230</v>
      </c>
      <c r="J696" s="1">
        <v>196.286</v>
      </c>
      <c r="K696" s="1">
        <v>451.01519000000002</v>
      </c>
      <c r="L696" s="7">
        <f>G696-J696</f>
        <v>-0.28498999999999342</v>
      </c>
      <c r="M696" s="1" t="s">
        <v>3231</v>
      </c>
      <c r="N696" s="2">
        <v>1032185.64410001</v>
      </c>
      <c r="O696" s="1">
        <v>1691602.67781001</v>
      </c>
      <c r="P696" s="1">
        <v>1715375.8937075899</v>
      </c>
      <c r="Q696" s="1">
        <f>STDEV(N696:P696)</f>
        <v>387759.57054594927</v>
      </c>
      <c r="R696" s="1">
        <v>1479721.40520587</v>
      </c>
      <c r="S696" s="1">
        <v>1.8146086941043355E-3</v>
      </c>
    </row>
    <row r="697" spans="1:19" x14ac:dyDescent="0.3">
      <c r="A697" s="1">
        <v>249</v>
      </c>
      <c r="B697" s="1" t="s">
        <v>1019</v>
      </c>
      <c r="C697" s="1" t="s">
        <v>1020</v>
      </c>
      <c r="D697" s="1">
        <v>12.55</v>
      </c>
      <c r="E697" s="1" t="s">
        <v>1021</v>
      </c>
      <c r="F697" s="1" t="s">
        <v>1022</v>
      </c>
      <c r="G697" s="1">
        <v>631.42438000000004</v>
      </c>
      <c r="H697" s="2">
        <v>464570597.79489398</v>
      </c>
      <c r="I697" s="1" t="s">
        <v>23</v>
      </c>
      <c r="J697" s="1">
        <v>631.71050000000002</v>
      </c>
      <c r="K697" s="1">
        <v>632.43182000000002</v>
      </c>
      <c r="L697" s="7">
        <f>G697-J697</f>
        <v>-0.28611999999998261</v>
      </c>
      <c r="M697" s="1" t="s">
        <v>1023</v>
      </c>
      <c r="N697" s="2">
        <v>37618628.869581603</v>
      </c>
      <c r="O697" s="1">
        <v>50400710.130123198</v>
      </c>
      <c r="P697" s="1">
        <v>33192994.435051698</v>
      </c>
      <c r="Q697" s="1">
        <f>STDEV(N697:P697)</f>
        <v>8935633.9165313561</v>
      </c>
      <c r="R697" s="1">
        <v>40404111.144918837</v>
      </c>
      <c r="S697" s="1">
        <v>4.9548280577131405E-2</v>
      </c>
    </row>
    <row r="698" spans="1:19" x14ac:dyDescent="0.3">
      <c r="A698" s="1">
        <v>255</v>
      </c>
      <c r="B698" s="1" t="s">
        <v>3409</v>
      </c>
      <c r="C698" s="1" t="s">
        <v>3410</v>
      </c>
      <c r="D698" s="1">
        <v>14.106999999999999</v>
      </c>
      <c r="E698" s="1" t="s">
        <v>3411</v>
      </c>
      <c r="F698" s="1" t="s">
        <v>3412</v>
      </c>
      <c r="G698" s="1">
        <v>689.50157999999999</v>
      </c>
      <c r="H698" s="2">
        <v>133742356.65229701</v>
      </c>
      <c r="I698" s="1" t="s">
        <v>23</v>
      </c>
      <c r="J698" s="1">
        <v>689.78963999999996</v>
      </c>
      <c r="K698" s="1">
        <v>690.50885000000005</v>
      </c>
      <c r="L698" s="7">
        <f>G698-J698</f>
        <v>-0.28805999999997312</v>
      </c>
      <c r="M698" s="1" t="s">
        <v>3413</v>
      </c>
      <c r="N698" s="2">
        <v>1493609.48219346</v>
      </c>
      <c r="O698" s="1">
        <v>944362.95989610802</v>
      </c>
      <c r="P698" s="1">
        <v>971798.93882484699</v>
      </c>
      <c r="Q698" s="1">
        <f>STDEV(N698:P698)</f>
        <v>309491.71188853198</v>
      </c>
      <c r="R698" s="1">
        <v>1136590.4603048048</v>
      </c>
      <c r="S698" s="1">
        <v>1.3938211096015075E-3</v>
      </c>
    </row>
    <row r="699" spans="1:19" x14ac:dyDescent="0.3">
      <c r="A699" s="1">
        <v>473</v>
      </c>
      <c r="B699" s="1" t="s">
        <v>4339</v>
      </c>
      <c r="C699" s="1" t="s">
        <v>4340</v>
      </c>
      <c r="D699" s="1">
        <v>7.194</v>
      </c>
      <c r="E699" s="1" t="s">
        <v>4341</v>
      </c>
      <c r="F699" s="1" t="s">
        <v>4342</v>
      </c>
      <c r="G699" s="1">
        <v>378.12950000000001</v>
      </c>
      <c r="H699" s="2">
        <v>12281316.276886901</v>
      </c>
      <c r="I699" s="1" t="s">
        <v>17</v>
      </c>
      <c r="J699" s="1">
        <v>378.41777999999999</v>
      </c>
      <c r="K699" s="1">
        <v>377.12222000000003</v>
      </c>
      <c r="L699" s="7">
        <f>G699-J699</f>
        <v>-0.2882799999999861</v>
      </c>
      <c r="M699" s="1" t="s">
        <v>4343</v>
      </c>
      <c r="N699" s="2">
        <v>268729.24074040703</v>
      </c>
      <c r="O699" s="1">
        <v>278087.22214892099</v>
      </c>
      <c r="P699" s="1">
        <v>294963.593778382</v>
      </c>
      <c r="Q699" s="1">
        <f>STDEV(N699:P699)</f>
        <v>13295.519387741595</v>
      </c>
      <c r="R699" s="1">
        <v>280593.35222256999</v>
      </c>
      <c r="S699" s="1">
        <v>3.4409662160703582E-4</v>
      </c>
    </row>
    <row r="700" spans="1:19" x14ac:dyDescent="0.3">
      <c r="A700" s="1">
        <v>84</v>
      </c>
      <c r="B700" s="1" t="s">
        <v>1522</v>
      </c>
      <c r="C700" s="1" t="s">
        <v>1523</v>
      </c>
      <c r="D700" s="1">
        <v>12.122999999999999</v>
      </c>
      <c r="E700" s="1" t="s">
        <v>1524</v>
      </c>
      <c r="F700" s="1" t="s">
        <v>1525</v>
      </c>
      <c r="G700" s="1">
        <v>561.38351999999998</v>
      </c>
      <c r="H700" s="2">
        <v>80086236.237553194</v>
      </c>
      <c r="I700" s="1" t="s">
        <v>23</v>
      </c>
      <c r="J700" s="1">
        <v>561.67186000000004</v>
      </c>
      <c r="K700" s="1">
        <v>562.39080000000001</v>
      </c>
      <c r="L700" s="7">
        <f>G700-J700</f>
        <v>-0.28834000000006199</v>
      </c>
      <c r="M700" s="1" t="s">
        <v>1526</v>
      </c>
      <c r="N700" s="2">
        <v>22225316.4043753</v>
      </c>
      <c r="O700" s="1">
        <v>15474872.285036299</v>
      </c>
      <c r="P700" s="1">
        <v>6400793.6593540702</v>
      </c>
      <c r="Q700" s="1">
        <f>STDEV(N700:P700)</f>
        <v>7940643.5383734917</v>
      </c>
      <c r="R700" s="1">
        <v>14700327.449588554</v>
      </c>
      <c r="S700" s="1">
        <v>1.8027273176123806E-2</v>
      </c>
    </row>
    <row r="701" spans="1:19" x14ac:dyDescent="0.3">
      <c r="A701" s="1">
        <v>256</v>
      </c>
      <c r="B701" s="1" t="s">
        <v>1851</v>
      </c>
      <c r="C701" s="1" t="s">
        <v>1852</v>
      </c>
      <c r="D701" s="1">
        <v>9.423</v>
      </c>
      <c r="E701" s="1" t="s">
        <v>1853</v>
      </c>
      <c r="F701" s="1" t="s">
        <v>1854</v>
      </c>
      <c r="G701" s="1">
        <v>493.25761999999997</v>
      </c>
      <c r="H701" s="2">
        <v>12096157.1136421</v>
      </c>
      <c r="I701" s="1" t="s">
        <v>23</v>
      </c>
      <c r="J701" s="1">
        <v>493.54669999999999</v>
      </c>
      <c r="K701" s="1">
        <v>494.26488999999998</v>
      </c>
      <c r="L701" s="7">
        <f>G701-J701</f>
        <v>-0.28908000000001266</v>
      </c>
      <c r="M701" s="1" t="s">
        <v>24</v>
      </c>
      <c r="N701" s="2">
        <v>12096157.1136421</v>
      </c>
      <c r="O701" s="1">
        <v>5929986.1104830904</v>
      </c>
      <c r="P701" s="1">
        <v>9560391.9192269593</v>
      </c>
      <c r="Q701" s="1">
        <f>STDEV(N701:P701)</f>
        <v>3099236.9033244122</v>
      </c>
      <c r="R701" s="1">
        <v>9195511.714450717</v>
      </c>
      <c r="S701" s="1">
        <v>1.127661966980806E-2</v>
      </c>
    </row>
    <row r="702" spans="1:19" x14ac:dyDescent="0.3">
      <c r="A702" s="1">
        <v>398</v>
      </c>
      <c r="B702" s="1" t="s">
        <v>4553</v>
      </c>
      <c r="C702" s="1" t="s">
        <v>4554</v>
      </c>
      <c r="D702" s="1">
        <v>3.6680000000000001</v>
      </c>
      <c r="E702" s="1" t="s">
        <v>4555</v>
      </c>
      <c r="F702" s="1" t="s">
        <v>4556</v>
      </c>
      <c r="G702" s="1">
        <v>307.05211000000003</v>
      </c>
      <c r="H702" s="2">
        <v>137279.456382957</v>
      </c>
      <c r="I702" s="1" t="s">
        <v>959</v>
      </c>
      <c r="J702" s="1">
        <v>307.34163999999998</v>
      </c>
      <c r="K702" s="1">
        <v>288.03415000000001</v>
      </c>
      <c r="L702" s="7">
        <f>G702-J702</f>
        <v>-0.28952999999995654</v>
      </c>
      <c r="M702" s="1" t="s">
        <v>4557</v>
      </c>
      <c r="N702" s="2">
        <v>129026.41883215201</v>
      </c>
      <c r="O702" s="1">
        <v>137279.456382957</v>
      </c>
      <c r="P702" s="1">
        <v>70464.485541137605</v>
      </c>
      <c r="Q702" s="1">
        <f>STDEV(N702:P702)</f>
        <v>36427.674891922026</v>
      </c>
      <c r="R702" s="1">
        <v>112256.78691874887</v>
      </c>
      <c r="S702" s="1">
        <v>1.3766249565514595E-4</v>
      </c>
    </row>
    <row r="703" spans="1:19" x14ac:dyDescent="0.3">
      <c r="A703" s="1">
        <v>30</v>
      </c>
      <c r="B703" s="1" t="s">
        <v>4536</v>
      </c>
      <c r="C703" s="1" t="s">
        <v>4537</v>
      </c>
      <c r="D703" s="1">
        <v>9.1519999999999992</v>
      </c>
      <c r="E703" s="1" t="s">
        <v>4538</v>
      </c>
      <c r="F703" s="1" t="s">
        <v>4539</v>
      </c>
      <c r="G703" s="1">
        <v>424.11347999999998</v>
      </c>
      <c r="H703" s="2">
        <v>597139.31205093395</v>
      </c>
      <c r="I703" s="1" t="s">
        <v>17</v>
      </c>
      <c r="J703" s="1">
        <v>424.40339999999998</v>
      </c>
      <c r="K703" s="1">
        <v>423.1062</v>
      </c>
      <c r="L703" s="7">
        <f>G703-J703</f>
        <v>-0.28991999999999507</v>
      </c>
      <c r="M703" s="1" t="s">
        <v>24</v>
      </c>
      <c r="N703" s="2">
        <v>103141.371113824</v>
      </c>
      <c r="O703" s="1">
        <v>133768.50904474399</v>
      </c>
      <c r="P703" s="1">
        <v>134633.62556020301</v>
      </c>
      <c r="Q703" s="1">
        <f>STDEV(N703:P703)</f>
        <v>17937.540218493308</v>
      </c>
      <c r="R703" s="1">
        <v>123847.83523959033</v>
      </c>
      <c r="S703" s="1">
        <v>1.5187680449921926E-4</v>
      </c>
    </row>
    <row r="704" spans="1:19" x14ac:dyDescent="0.3">
      <c r="A704" s="1">
        <v>182</v>
      </c>
      <c r="B704" s="1" t="s">
        <v>4133</v>
      </c>
      <c r="C704" s="1" t="s">
        <v>4134</v>
      </c>
      <c r="D704" s="1">
        <v>3.6179999999999999</v>
      </c>
      <c r="E704" s="1" t="s">
        <v>4135</v>
      </c>
      <c r="F704" s="1" t="s">
        <v>4136</v>
      </c>
      <c r="G704" s="1">
        <v>339.09343000000001</v>
      </c>
      <c r="H704" s="2">
        <v>949920.62123130902</v>
      </c>
      <c r="I704" s="1" t="s">
        <v>17</v>
      </c>
      <c r="J704" s="1">
        <v>339.38504</v>
      </c>
      <c r="K704" s="1">
        <v>338.08614999999998</v>
      </c>
      <c r="L704" s="7">
        <f>G704-J704</f>
        <v>-0.29160999999999149</v>
      </c>
      <c r="M704" s="1" t="s">
        <v>24</v>
      </c>
      <c r="N704" s="2">
        <v>399320.77183460601</v>
      </c>
      <c r="O704" s="1">
        <v>524040.965315376</v>
      </c>
      <c r="P704" s="1">
        <v>556791.01701432199</v>
      </c>
      <c r="Q704" s="1">
        <f>STDEV(N704:P704)</f>
        <v>83090.884643587735</v>
      </c>
      <c r="R704" s="1">
        <v>493384.25138810137</v>
      </c>
      <c r="S704" s="1">
        <v>6.0504588833628931E-4</v>
      </c>
    </row>
    <row r="705" spans="1:19" x14ac:dyDescent="0.3">
      <c r="A705" s="1">
        <v>231</v>
      </c>
      <c r="B705" s="1" t="s">
        <v>3849</v>
      </c>
      <c r="C705" s="1" t="s">
        <v>3850</v>
      </c>
      <c r="D705" s="1">
        <v>11.872</v>
      </c>
      <c r="E705" s="1" t="s">
        <v>3851</v>
      </c>
      <c r="F705" s="1" t="s">
        <v>3852</v>
      </c>
      <c r="G705" s="1">
        <v>343.21125999999998</v>
      </c>
      <c r="H705" s="2">
        <v>57631242.518769003</v>
      </c>
      <c r="I705" s="1" t="s">
        <v>23</v>
      </c>
      <c r="J705" s="1">
        <v>343.50292000000002</v>
      </c>
      <c r="K705" s="1">
        <v>344.21854000000002</v>
      </c>
      <c r="L705" s="7">
        <f>G705-J705</f>
        <v>-0.29166000000003578</v>
      </c>
      <c r="M705" s="1" t="s">
        <v>3853</v>
      </c>
      <c r="N705" s="2">
        <v>710264.59551924805</v>
      </c>
      <c r="O705" s="1">
        <v>698191.41201842704</v>
      </c>
      <c r="P705" s="1">
        <v>721911.10181794199</v>
      </c>
      <c r="Q705" s="1">
        <f>STDEV(N705:P705)</f>
        <v>11860.484482763395</v>
      </c>
      <c r="R705" s="1">
        <v>710122.36978520581</v>
      </c>
      <c r="S705" s="1">
        <v>8.7083570025867779E-4</v>
      </c>
    </row>
    <row r="706" spans="1:19" x14ac:dyDescent="0.3">
      <c r="A706" s="1">
        <v>609</v>
      </c>
      <c r="B706" s="1" t="s">
        <v>2238</v>
      </c>
      <c r="C706" s="1" t="s">
        <v>2239</v>
      </c>
      <c r="D706" s="1">
        <v>6.8</v>
      </c>
      <c r="E706" s="1" t="s">
        <v>2240</v>
      </c>
      <c r="F706" s="1" t="s">
        <v>2241</v>
      </c>
      <c r="G706" s="1">
        <v>340.20711999999997</v>
      </c>
      <c r="H706" s="2">
        <v>45684765.479869999</v>
      </c>
      <c r="I706" s="1" t="s">
        <v>150</v>
      </c>
      <c r="J706" s="1">
        <v>340.49898000000002</v>
      </c>
      <c r="K706" s="1">
        <v>363.19625000000002</v>
      </c>
      <c r="L706" s="7">
        <f>G706-J706</f>
        <v>-0.29186000000004242</v>
      </c>
      <c r="M706" s="1" t="s">
        <v>2242</v>
      </c>
      <c r="N706" s="2">
        <v>6675781.9938689899</v>
      </c>
      <c r="O706" s="1">
        <v>3488966.4838109598</v>
      </c>
      <c r="P706" s="1">
        <v>5778523.1164061297</v>
      </c>
      <c r="Q706" s="1">
        <f>STDEV(N706:P706)</f>
        <v>1643316.5733861155</v>
      </c>
      <c r="R706" s="1">
        <v>5314423.86469536</v>
      </c>
      <c r="S706" s="1">
        <v>6.5171725671496067E-3</v>
      </c>
    </row>
    <row r="707" spans="1:19" x14ac:dyDescent="0.3">
      <c r="A707" s="1">
        <v>840</v>
      </c>
      <c r="B707" s="1" t="s">
        <v>716</v>
      </c>
      <c r="C707" s="1" t="s">
        <v>717</v>
      </c>
      <c r="D707" s="1">
        <v>13.087</v>
      </c>
      <c r="E707" s="1" t="s">
        <v>718</v>
      </c>
      <c r="F707" s="1" t="s">
        <v>719</v>
      </c>
      <c r="G707" s="1">
        <v>426.29457000000002</v>
      </c>
      <c r="H707" s="2">
        <v>111033211.157924</v>
      </c>
      <c r="I707" s="1" t="s">
        <v>398</v>
      </c>
      <c r="J707" s="1">
        <v>426.58821999999998</v>
      </c>
      <c r="K707" s="1">
        <v>444.32819000000001</v>
      </c>
      <c r="L707" s="7">
        <f>G707-J707</f>
        <v>-0.29364999999995689</v>
      </c>
      <c r="M707" s="1" t="s">
        <v>604</v>
      </c>
      <c r="N707" s="2">
        <v>75590334.720365494</v>
      </c>
      <c r="O707" s="1">
        <v>111033211.157924</v>
      </c>
      <c r="P707" s="1">
        <v>3178565.4310054001</v>
      </c>
      <c r="Q707" s="1">
        <f>STDEV(N707:P707)</f>
        <v>54973154.700973041</v>
      </c>
      <c r="R707" s="1">
        <v>63267370.436431624</v>
      </c>
      <c r="S707" s="1">
        <v>7.7585902348351735E-2</v>
      </c>
    </row>
    <row r="708" spans="1:19" x14ac:dyDescent="0.3">
      <c r="A708" s="1">
        <v>205</v>
      </c>
      <c r="B708" s="1" t="s">
        <v>3459</v>
      </c>
      <c r="C708" s="1" t="s">
        <v>3460</v>
      </c>
      <c r="D708" s="1">
        <v>24.38</v>
      </c>
      <c r="E708" s="1" t="s">
        <v>3461</v>
      </c>
      <c r="F708" s="1" t="s">
        <v>3462</v>
      </c>
      <c r="G708" s="1">
        <v>661.44182000000001</v>
      </c>
      <c r="H708" s="2">
        <v>1918637.9797619099</v>
      </c>
      <c r="I708" s="1" t="s">
        <v>23</v>
      </c>
      <c r="J708" s="1">
        <v>661.73648000000003</v>
      </c>
      <c r="K708" s="1">
        <v>662.44908999999996</v>
      </c>
      <c r="L708" s="7">
        <f>G708-J708</f>
        <v>-0.29466000000002168</v>
      </c>
      <c r="M708" s="1" t="s">
        <v>3463</v>
      </c>
      <c r="N708" s="2">
        <v>1042086.82226454</v>
      </c>
      <c r="O708" s="1">
        <v>1219990.23687124</v>
      </c>
      <c r="P708" s="1">
        <v>1047143.73103667</v>
      </c>
      <c r="Q708" s="1">
        <f>STDEV(N708:P708)</f>
        <v>101284.34547868445</v>
      </c>
      <c r="R708" s="1">
        <v>1103073.59672415</v>
      </c>
      <c r="S708" s="1">
        <v>1.3527187832861674E-3</v>
      </c>
    </row>
    <row r="709" spans="1:19" x14ac:dyDescent="0.3">
      <c r="A709" s="1">
        <v>214</v>
      </c>
      <c r="B709" s="1" t="s">
        <v>1996</v>
      </c>
      <c r="C709" s="1" t="s">
        <v>1997</v>
      </c>
      <c r="D709" s="1">
        <v>11.874000000000001</v>
      </c>
      <c r="E709" s="1" t="s">
        <v>1998</v>
      </c>
      <c r="F709" s="1" t="s">
        <v>1999</v>
      </c>
      <c r="G709" s="1">
        <v>633.38864999999998</v>
      </c>
      <c r="H709" s="2">
        <v>25997216.282166298</v>
      </c>
      <c r="I709" s="1" t="s">
        <v>290</v>
      </c>
      <c r="J709" s="1">
        <v>633.68331999999998</v>
      </c>
      <c r="K709" s="1">
        <v>317.70159999999998</v>
      </c>
      <c r="L709" s="7">
        <f>G709-J709</f>
        <v>-0.29466999999999643</v>
      </c>
      <c r="M709" s="1" t="s">
        <v>2000</v>
      </c>
      <c r="N709" s="2">
        <v>10412987.170091299</v>
      </c>
      <c r="O709" s="1">
        <v>8709834.33999281</v>
      </c>
      <c r="P709" s="1">
        <v>3101023.1272364198</v>
      </c>
      <c r="Q709" s="1">
        <f>STDEV(N709:P709)</f>
        <v>3825883.5787091311</v>
      </c>
      <c r="R709" s="1">
        <v>7407948.212440175</v>
      </c>
      <c r="S709" s="1">
        <v>9.0844987336642525E-3</v>
      </c>
    </row>
    <row r="710" spans="1:19" x14ac:dyDescent="0.3">
      <c r="A710" s="1">
        <v>113</v>
      </c>
      <c r="B710" s="1" t="s">
        <v>3257</v>
      </c>
      <c r="C710" s="1" t="s">
        <v>3258</v>
      </c>
      <c r="D710" s="1">
        <v>1.161</v>
      </c>
      <c r="E710" s="1" t="s">
        <v>3259</v>
      </c>
      <c r="F710" s="1" t="s">
        <v>3260</v>
      </c>
      <c r="G710" s="1">
        <v>293.06493999999998</v>
      </c>
      <c r="H710" s="2">
        <v>1682328.9973848499</v>
      </c>
      <c r="I710" s="1" t="s">
        <v>17</v>
      </c>
      <c r="J710" s="1">
        <v>293.35966000000002</v>
      </c>
      <c r="K710" s="1">
        <v>292.05801000000002</v>
      </c>
      <c r="L710" s="7">
        <f>G710-J710</f>
        <v>-0.29472000000004073</v>
      </c>
      <c r="M710" s="1" t="s">
        <v>3261</v>
      </c>
      <c r="N710" s="2">
        <v>1565590.1948925001</v>
      </c>
      <c r="O710" s="1">
        <v>1075531.2316845299</v>
      </c>
      <c r="P710" s="1">
        <v>1682328.9973848499</v>
      </c>
      <c r="Q710" s="1">
        <f>STDEV(N710:P710)</f>
        <v>321970.30501966109</v>
      </c>
      <c r="R710" s="1">
        <v>1441150.1413206265</v>
      </c>
      <c r="S710" s="1">
        <v>1.7673080667412963E-3</v>
      </c>
    </row>
    <row r="711" spans="1:19" x14ac:dyDescent="0.3">
      <c r="A711" s="1">
        <v>50</v>
      </c>
      <c r="B711" s="1" t="s">
        <v>3092</v>
      </c>
      <c r="C711" s="1" t="s">
        <v>3093</v>
      </c>
      <c r="D711" s="1">
        <v>11.026</v>
      </c>
      <c r="E711" s="1" t="s">
        <v>3094</v>
      </c>
      <c r="F711" s="1" t="s">
        <v>3095</v>
      </c>
      <c r="G711" s="1">
        <v>338.14794000000001</v>
      </c>
      <c r="H711" s="2">
        <v>12831140.1897872</v>
      </c>
      <c r="I711" s="1" t="s">
        <v>23</v>
      </c>
      <c r="J711" s="1">
        <v>338.44333999999998</v>
      </c>
      <c r="K711" s="1">
        <v>339.15521000000001</v>
      </c>
      <c r="L711" s="7">
        <f>G711-J711</f>
        <v>-0.29539999999997235</v>
      </c>
      <c r="M711" s="1" t="s">
        <v>24</v>
      </c>
      <c r="N711" s="2">
        <v>434849.57264755201</v>
      </c>
      <c r="O711" s="1">
        <v>2519176.4178584702</v>
      </c>
      <c r="P711" s="1">
        <v>2333788.7103321999</v>
      </c>
      <c r="Q711" s="1">
        <f>STDEV(N711:P711)</f>
        <v>1153599.9341481184</v>
      </c>
      <c r="R711" s="1">
        <v>1762604.9002794074</v>
      </c>
      <c r="S711" s="1">
        <v>2.1615137586476472E-3</v>
      </c>
    </row>
    <row r="712" spans="1:19" x14ac:dyDescent="0.3">
      <c r="A712" s="1">
        <v>29</v>
      </c>
      <c r="B712" s="1" t="s">
        <v>1041</v>
      </c>
      <c r="C712" s="1" t="s">
        <v>1042</v>
      </c>
      <c r="D712" s="1">
        <v>20.193999999999999</v>
      </c>
      <c r="E712" s="1" t="s">
        <v>1043</v>
      </c>
      <c r="F712" s="1" t="s">
        <v>1044</v>
      </c>
      <c r="G712" s="1">
        <v>338.14771000000002</v>
      </c>
      <c r="H712" s="2">
        <v>3112434474.2424202</v>
      </c>
      <c r="I712" s="1" t="s">
        <v>23</v>
      </c>
      <c r="J712" s="1">
        <v>338.44333999999998</v>
      </c>
      <c r="K712" s="1">
        <v>339.15499999999997</v>
      </c>
      <c r="L712" s="7">
        <f>G712-J712</f>
        <v>-0.29562999999996009</v>
      </c>
      <c r="M712" s="1" t="s">
        <v>1045</v>
      </c>
      <c r="N712" s="2">
        <v>44190581.2451851</v>
      </c>
      <c r="O712" s="1">
        <v>67141333.427565396</v>
      </c>
      <c r="P712" s="1">
        <v>5598775.2038025996</v>
      </c>
      <c r="Q712" s="1">
        <f>STDEV(N712:P712)</f>
        <v>31100779.711549442</v>
      </c>
      <c r="R712" s="1">
        <v>38976896.625517704</v>
      </c>
      <c r="S712" s="1">
        <v>4.7798062011565064E-2</v>
      </c>
    </row>
    <row r="713" spans="1:19" x14ac:dyDescent="0.3">
      <c r="A713" s="1">
        <v>235</v>
      </c>
      <c r="B713" s="1" t="s">
        <v>797</v>
      </c>
      <c r="C713" s="1" t="s">
        <v>798</v>
      </c>
      <c r="D713" s="1">
        <v>13.608000000000001</v>
      </c>
      <c r="E713" s="1" t="s">
        <v>799</v>
      </c>
      <c r="F713" s="1" t="s">
        <v>800</v>
      </c>
      <c r="G713" s="1">
        <v>630.42877999999996</v>
      </c>
      <c r="H713" s="2">
        <v>971081150.43554997</v>
      </c>
      <c r="I713" s="1" t="s">
        <v>398</v>
      </c>
      <c r="J713" s="1">
        <v>630.72573999999997</v>
      </c>
      <c r="K713" s="1">
        <v>648.46245999999996</v>
      </c>
      <c r="L713" s="7">
        <f>G713-J713</f>
        <v>-0.29696000000001277</v>
      </c>
      <c r="M713" s="1" t="s">
        <v>801</v>
      </c>
      <c r="N713" s="2">
        <v>36476139.114394702</v>
      </c>
      <c r="O713" s="1">
        <v>106104031.37824599</v>
      </c>
      <c r="P713" s="1">
        <v>25957550.966199402</v>
      </c>
      <c r="Q713" s="1">
        <f>STDEV(N713:P713)</f>
        <v>43554835.935435839</v>
      </c>
      <c r="R713" s="1">
        <v>56179240.486280032</v>
      </c>
      <c r="S713" s="1">
        <v>6.8893602441602114E-2</v>
      </c>
    </row>
    <row r="714" spans="1:19" x14ac:dyDescent="0.3">
      <c r="A714" s="1">
        <v>383</v>
      </c>
      <c r="B714" s="1" t="s">
        <v>2979</v>
      </c>
      <c r="C714" s="1" t="s">
        <v>2980</v>
      </c>
      <c r="D714" s="1">
        <v>0.68799999999999994</v>
      </c>
      <c r="E714" s="1" t="s">
        <v>2981</v>
      </c>
      <c r="F714" s="1" t="s">
        <v>2982</v>
      </c>
      <c r="G714" s="1">
        <v>305.07125000000002</v>
      </c>
      <c r="H714" s="2">
        <v>15517856.2783134</v>
      </c>
      <c r="I714" s="1" t="s">
        <v>23</v>
      </c>
      <c r="J714" s="1">
        <v>305.36882000000003</v>
      </c>
      <c r="K714" s="1">
        <v>306.07852000000003</v>
      </c>
      <c r="L714" s="7">
        <f>G714-J714</f>
        <v>-0.29757000000000744</v>
      </c>
      <c r="M714" s="1" t="s">
        <v>2983</v>
      </c>
      <c r="N714" s="2">
        <v>3623127.8747783001</v>
      </c>
      <c r="O714" s="1">
        <v>1232304.36263725</v>
      </c>
      <c r="P714" s="1">
        <v>1055003.25994337</v>
      </c>
      <c r="Q714" s="1">
        <f>STDEV(N714:P714)</f>
        <v>1434267.3381988446</v>
      </c>
      <c r="R714" s="1">
        <v>1970145.1657863066</v>
      </c>
      <c r="S714" s="1">
        <v>2.4160240798747337E-3</v>
      </c>
    </row>
    <row r="715" spans="1:19" x14ac:dyDescent="0.3">
      <c r="A715" s="1">
        <v>938</v>
      </c>
      <c r="B715" s="1" t="s">
        <v>3975</v>
      </c>
      <c r="C715" s="1" t="s">
        <v>3976</v>
      </c>
      <c r="D715" s="1">
        <v>0.64800000000000002</v>
      </c>
      <c r="E715" s="1" t="s">
        <v>3977</v>
      </c>
      <c r="F715" s="1" t="s">
        <v>3978</v>
      </c>
      <c r="G715" s="1">
        <v>331.06504999999999</v>
      </c>
      <c r="H715" s="2">
        <v>16812553.358371601</v>
      </c>
      <c r="I715" s="1" t="s">
        <v>17</v>
      </c>
      <c r="J715" s="1">
        <v>331.36304000000001</v>
      </c>
      <c r="K715" s="1">
        <v>330.05777</v>
      </c>
      <c r="L715" s="7">
        <f>G715-J715</f>
        <v>-0.29799000000002707</v>
      </c>
      <c r="M715" s="1" t="s">
        <v>3979</v>
      </c>
      <c r="N715" s="2">
        <v>567728.04576637002</v>
      </c>
      <c r="O715" s="1">
        <v>660830.441176933</v>
      </c>
      <c r="P715" s="1">
        <v>635820.13302386901</v>
      </c>
      <c r="Q715" s="1">
        <f>STDEV(N715:P715)</f>
        <v>48183.856031141964</v>
      </c>
      <c r="R715" s="1">
        <v>621459.53998905735</v>
      </c>
      <c r="S715" s="1">
        <v>7.6210689412939154E-4</v>
      </c>
    </row>
    <row r="716" spans="1:19" x14ac:dyDescent="0.3">
      <c r="A716" s="1">
        <v>60</v>
      </c>
      <c r="B716" s="1" t="s">
        <v>2471</v>
      </c>
      <c r="C716" s="1" t="s">
        <v>2472</v>
      </c>
      <c r="D716" s="1">
        <v>0.79500000000000004</v>
      </c>
      <c r="E716" s="1" t="s">
        <v>2473</v>
      </c>
      <c r="F716" s="1" t="s">
        <v>2474</v>
      </c>
      <c r="G716" s="1">
        <v>265.05450000000002</v>
      </c>
      <c r="H716" s="2">
        <v>4893751.3841052102</v>
      </c>
      <c r="I716" s="1" t="s">
        <v>23</v>
      </c>
      <c r="J716" s="1">
        <v>265.35286000000002</v>
      </c>
      <c r="K716" s="1">
        <v>266.06178</v>
      </c>
      <c r="L716" s="7">
        <f>G716-J716</f>
        <v>-0.2983600000000024</v>
      </c>
      <c r="M716" s="1" t="s">
        <v>24</v>
      </c>
      <c r="N716" s="2">
        <v>1545706.5302738999</v>
      </c>
      <c r="O716" s="1">
        <v>4653770.4590882799</v>
      </c>
      <c r="P716" s="1">
        <v>4893751.3841052102</v>
      </c>
      <c r="Q716" s="1">
        <f>STDEV(N716:P716)</f>
        <v>1867576.7085198676</v>
      </c>
      <c r="R716" s="1">
        <v>3697742.7911557965</v>
      </c>
      <c r="S716" s="1">
        <v>4.5346077942688152E-3</v>
      </c>
    </row>
    <row r="717" spans="1:19" x14ac:dyDescent="0.3">
      <c r="A717" s="1">
        <v>343</v>
      </c>
      <c r="B717" s="1" t="s">
        <v>2452</v>
      </c>
      <c r="C717" s="1" t="s">
        <v>2453</v>
      </c>
      <c r="D717" s="1">
        <v>1.494</v>
      </c>
      <c r="E717" s="1" t="s">
        <v>2454</v>
      </c>
      <c r="F717" s="1" t="s">
        <v>2455</v>
      </c>
      <c r="G717" s="1">
        <v>244.03349</v>
      </c>
      <c r="H717" s="2">
        <v>8581763.1611698493</v>
      </c>
      <c r="I717" s="1" t="s">
        <v>17</v>
      </c>
      <c r="J717" s="1">
        <v>244.3321</v>
      </c>
      <c r="K717" s="1">
        <v>243.02620999999999</v>
      </c>
      <c r="L717" s="7">
        <f>G717-J717</f>
        <v>-0.29860999999999649</v>
      </c>
      <c r="M717" s="1" t="s">
        <v>2456</v>
      </c>
      <c r="N717" s="2">
        <v>1755183.97885849</v>
      </c>
      <c r="O717" s="1">
        <v>1523073.22443421</v>
      </c>
      <c r="P717" s="1">
        <v>8581763.1611698493</v>
      </c>
      <c r="Q717" s="1">
        <f>STDEV(N717:P717)</f>
        <v>4010011.6865511173</v>
      </c>
      <c r="R717" s="1">
        <v>3953340.1214875164</v>
      </c>
      <c r="S717" s="1">
        <v>4.848051349371856E-3</v>
      </c>
    </row>
    <row r="718" spans="1:19" x14ac:dyDescent="0.3">
      <c r="A718" s="1">
        <v>222</v>
      </c>
      <c r="B718" s="1" t="s">
        <v>1160</v>
      </c>
      <c r="C718" s="1" t="s">
        <v>1161</v>
      </c>
      <c r="D718" s="1">
        <v>12.061</v>
      </c>
      <c r="E718" s="1" t="s">
        <v>1162</v>
      </c>
      <c r="F718" s="1" t="s">
        <v>1163</v>
      </c>
      <c r="G718" s="1">
        <v>449.28019999999998</v>
      </c>
      <c r="H718" s="2">
        <v>157139365.94488499</v>
      </c>
      <c r="I718" s="1" t="s">
        <v>23</v>
      </c>
      <c r="J718" s="1">
        <v>449.58026000000001</v>
      </c>
      <c r="K718" s="1">
        <v>450.28748000000002</v>
      </c>
      <c r="L718" s="7">
        <f>G718-J718</f>
        <v>-0.30006000000003041</v>
      </c>
      <c r="M718" s="1" t="s">
        <v>24</v>
      </c>
      <c r="N718" s="2">
        <v>40071281.622472502</v>
      </c>
      <c r="O718" s="1">
        <v>34819089.591508403</v>
      </c>
      <c r="P718" s="1">
        <v>17953898.577679299</v>
      </c>
      <c r="Q718" s="1">
        <f>STDEV(N718:P718)</f>
        <v>11555653.896204283</v>
      </c>
      <c r="R718" s="1">
        <v>30948089.930553406</v>
      </c>
      <c r="S718" s="1">
        <v>3.7952193471237808E-2</v>
      </c>
    </row>
    <row r="719" spans="1:19" x14ac:dyDescent="0.3">
      <c r="A719" s="1">
        <v>552</v>
      </c>
      <c r="B719" s="1" t="s">
        <v>3367</v>
      </c>
      <c r="C719" s="1" t="s">
        <v>3368</v>
      </c>
      <c r="D719" s="1">
        <v>6.0030000000000001</v>
      </c>
      <c r="E719" s="1" t="s">
        <v>3369</v>
      </c>
      <c r="F719" s="1" t="s">
        <v>3370</v>
      </c>
      <c r="G719" s="1">
        <v>913.46006999999997</v>
      </c>
      <c r="H719" s="2">
        <v>48906605.020931602</v>
      </c>
      <c r="I719" s="1" t="s">
        <v>23</v>
      </c>
      <c r="J719" s="1">
        <v>913.76113999999995</v>
      </c>
      <c r="K719" s="1">
        <v>914.46735000000001</v>
      </c>
      <c r="L719" s="7">
        <f>G719-J719</f>
        <v>-0.30106999999998152</v>
      </c>
      <c r="M719" s="1" t="s">
        <v>3371</v>
      </c>
      <c r="N719" s="2">
        <v>925470.48937980703</v>
      </c>
      <c r="O719" s="1">
        <v>1268202.4157684101</v>
      </c>
      <c r="P719" s="1">
        <v>1367215.14804026</v>
      </c>
      <c r="Q719" s="1">
        <f>STDEV(N719:P719)</f>
        <v>231807.04546850416</v>
      </c>
      <c r="R719" s="1">
        <v>1186962.6843961589</v>
      </c>
      <c r="S719" s="1">
        <v>1.4555934644893697E-3</v>
      </c>
    </row>
    <row r="720" spans="1:19" x14ac:dyDescent="0.3">
      <c r="A720" s="1">
        <v>167</v>
      </c>
      <c r="B720" s="1" t="s">
        <v>2064</v>
      </c>
      <c r="C720" s="1" t="s">
        <v>2065</v>
      </c>
      <c r="D720" s="1">
        <v>12.12</v>
      </c>
      <c r="E720" s="1" t="s">
        <v>2066</v>
      </c>
      <c r="F720" s="1" t="s">
        <v>2067</v>
      </c>
      <c r="G720" s="1">
        <v>554.37786000000006</v>
      </c>
      <c r="H720" s="2">
        <v>12106791.969532199</v>
      </c>
      <c r="I720" s="1" t="s">
        <v>23</v>
      </c>
      <c r="J720" s="1">
        <v>554.67921999999999</v>
      </c>
      <c r="K720" s="1">
        <v>555.38513</v>
      </c>
      <c r="L720" s="7">
        <f>G720-J720</f>
        <v>-0.30135999999993146</v>
      </c>
      <c r="M720" s="1" t="s">
        <v>2068</v>
      </c>
      <c r="N720" s="2">
        <v>12106791.969532199</v>
      </c>
      <c r="O720" s="1">
        <v>7378913.7359517403</v>
      </c>
      <c r="P720" s="1">
        <v>1397504.9132419</v>
      </c>
      <c r="Q720" s="1">
        <f>STDEV(N720:P720)</f>
        <v>5366856.8291875441</v>
      </c>
      <c r="R720" s="1">
        <v>6961070.2062419467</v>
      </c>
      <c r="S720" s="1">
        <v>8.536484281485332E-3</v>
      </c>
    </row>
    <row r="721" spans="1:19" x14ac:dyDescent="0.3">
      <c r="A721" s="1">
        <v>426</v>
      </c>
      <c r="B721" s="1" t="s">
        <v>1253</v>
      </c>
      <c r="C721" s="1" t="s">
        <v>1254</v>
      </c>
      <c r="D721" s="1">
        <v>0.78600000000000003</v>
      </c>
      <c r="E721" s="1" t="s">
        <v>1255</v>
      </c>
      <c r="F721" s="1" t="s">
        <v>1256</v>
      </c>
      <c r="G721" s="1">
        <v>505.21276</v>
      </c>
      <c r="H721" s="2">
        <v>31748271.281588499</v>
      </c>
      <c r="I721" s="1" t="s">
        <v>23</v>
      </c>
      <c r="J721" s="1">
        <v>505.51434</v>
      </c>
      <c r="K721" s="1">
        <v>506.22003999999998</v>
      </c>
      <c r="L721" s="7">
        <f>G721-J721</f>
        <v>-0.30158000000000129</v>
      </c>
      <c r="M721" s="1" t="s">
        <v>1257</v>
      </c>
      <c r="N721" s="2">
        <v>31748271.281588499</v>
      </c>
      <c r="O721" s="1">
        <v>24326464.018528901</v>
      </c>
      <c r="P721" s="1">
        <v>24874317.418319698</v>
      </c>
      <c r="Q721" s="1">
        <f>STDEV(N721:P721)</f>
        <v>4135911.9935836252</v>
      </c>
      <c r="R721" s="1">
        <v>26983017.572812367</v>
      </c>
      <c r="S721" s="1">
        <v>3.3089754671747282E-2</v>
      </c>
    </row>
    <row r="722" spans="1:19" x14ac:dyDescent="0.3">
      <c r="A722" s="1">
        <v>406</v>
      </c>
      <c r="B722" s="1" t="s">
        <v>4285</v>
      </c>
      <c r="C722" s="1" t="s">
        <v>4286</v>
      </c>
      <c r="D722" s="1">
        <v>2.383</v>
      </c>
      <c r="E722" s="1" t="s">
        <v>4287</v>
      </c>
      <c r="F722" s="1" t="s">
        <v>4288</v>
      </c>
      <c r="G722" s="1">
        <v>255.00691</v>
      </c>
      <c r="H722" s="2">
        <v>712493.75109055301</v>
      </c>
      <c r="I722" s="1" t="s">
        <v>17</v>
      </c>
      <c r="J722" s="1">
        <v>255.31013999999999</v>
      </c>
      <c r="K722" s="1">
        <v>253.99963</v>
      </c>
      <c r="L722" s="7">
        <f>G722-J722</f>
        <v>-0.30322999999998501</v>
      </c>
      <c r="M722" s="1" t="s">
        <v>4289</v>
      </c>
      <c r="N722" s="2">
        <v>278006.40402968501</v>
      </c>
      <c r="O722" s="1">
        <v>349966.83440365002</v>
      </c>
      <c r="P722" s="1">
        <v>364411.64438410703</v>
      </c>
      <c r="Q722" s="1">
        <f>STDEV(N722:P722)</f>
        <v>46283.225247172624</v>
      </c>
      <c r="R722" s="1">
        <v>330794.96093914734</v>
      </c>
      <c r="S722" s="1">
        <v>4.0565974782433295E-4</v>
      </c>
    </row>
    <row r="723" spans="1:19" x14ac:dyDescent="0.3">
      <c r="A723" s="1">
        <v>329</v>
      </c>
      <c r="B723" s="1" t="s">
        <v>1140</v>
      </c>
      <c r="C723" s="1" t="s">
        <v>1141</v>
      </c>
      <c r="D723" s="1">
        <v>0.63100000000000001</v>
      </c>
      <c r="E723" s="1" t="s">
        <v>1142</v>
      </c>
      <c r="F723" s="1" t="s">
        <v>1143</v>
      </c>
      <c r="G723" s="1">
        <v>260.02782999999999</v>
      </c>
      <c r="H723" s="2">
        <v>34270229.135471404</v>
      </c>
      <c r="I723" s="1" t="s">
        <v>344</v>
      </c>
      <c r="J723" s="1">
        <v>260.33150000000001</v>
      </c>
      <c r="K723" s="1">
        <v>293.06121999999999</v>
      </c>
      <c r="L723" s="7">
        <f>G723-J723</f>
        <v>-0.30367000000001099</v>
      </c>
      <c r="M723" s="1" t="s">
        <v>1144</v>
      </c>
      <c r="N723" s="2">
        <v>29475166.493566498</v>
      </c>
      <c r="O723" s="1">
        <v>34270229.135471404</v>
      </c>
      <c r="P723" s="1">
        <v>29878355.3386361</v>
      </c>
      <c r="Q723" s="1">
        <f>STDEV(N723:P723)</f>
        <v>2659691.1610156656</v>
      </c>
      <c r="R723" s="1">
        <v>31207916.989224669</v>
      </c>
      <c r="S723" s="1">
        <v>3.8270824017480963E-2</v>
      </c>
    </row>
    <row r="724" spans="1:19" x14ac:dyDescent="0.3">
      <c r="A724" s="1">
        <v>350</v>
      </c>
      <c r="B724" s="1" t="s">
        <v>4026</v>
      </c>
      <c r="C724" s="1" t="s">
        <v>4027</v>
      </c>
      <c r="D724" s="1">
        <v>15.215999999999999</v>
      </c>
      <c r="E724" s="1" t="s">
        <v>4028</v>
      </c>
      <c r="F724" s="1" t="s">
        <v>4029</v>
      </c>
      <c r="G724" s="1">
        <v>384.33616999999998</v>
      </c>
      <c r="H724" s="2">
        <v>10857665.8100673</v>
      </c>
      <c r="I724" s="1" t="s">
        <v>23</v>
      </c>
      <c r="J724" s="1">
        <v>384.64096000000001</v>
      </c>
      <c r="K724" s="1">
        <v>385.34343999999999</v>
      </c>
      <c r="L724" s="7">
        <f>G724-J724</f>
        <v>-0.30479000000002543</v>
      </c>
      <c r="M724" s="1" t="s">
        <v>4030</v>
      </c>
      <c r="N724" s="2">
        <v>600793.93666840403</v>
      </c>
      <c r="O724" s="1">
        <v>615641.64613823197</v>
      </c>
      <c r="P724" s="1">
        <v>568361.30691532698</v>
      </c>
      <c r="Q724" s="1">
        <f>STDEV(N724:P724)</f>
        <v>24179.055765384932</v>
      </c>
      <c r="R724" s="1">
        <v>594932.2965739877</v>
      </c>
      <c r="S724" s="1">
        <v>7.2957606341878878E-4</v>
      </c>
    </row>
    <row r="725" spans="1:19" x14ac:dyDescent="0.3">
      <c r="A725" s="1">
        <v>421</v>
      </c>
      <c r="B725" s="1" t="s">
        <v>4422</v>
      </c>
      <c r="C725" s="1" t="s">
        <v>4423</v>
      </c>
      <c r="D725" s="1">
        <v>8.7620000000000005</v>
      </c>
      <c r="E725" s="1" t="s">
        <v>4424</v>
      </c>
      <c r="F725" s="1" t="s">
        <v>4425</v>
      </c>
      <c r="G725" s="1">
        <v>345.08301999999998</v>
      </c>
      <c r="H725" s="2">
        <v>495296.21328263299</v>
      </c>
      <c r="I725" s="1" t="s">
        <v>959</v>
      </c>
      <c r="J725" s="1">
        <v>345.38961999999998</v>
      </c>
      <c r="K725" s="1">
        <v>326.06527999999997</v>
      </c>
      <c r="L725" s="7">
        <f>G725-J725</f>
        <v>-0.30660000000000309</v>
      </c>
      <c r="M725" s="1" t="s">
        <v>4426</v>
      </c>
      <c r="N725" s="2">
        <v>286966.35860816098</v>
      </c>
      <c r="O725" s="1">
        <v>221529.93642439699</v>
      </c>
      <c r="P725" s="1">
        <v>194927.388851027</v>
      </c>
      <c r="Q725" s="1">
        <f>STDEV(N725:P725)</f>
        <v>47365.234859123877</v>
      </c>
      <c r="R725" s="1">
        <v>234474.56129452834</v>
      </c>
      <c r="S725" s="1">
        <v>2.8754032750655191E-4</v>
      </c>
    </row>
    <row r="726" spans="1:19" x14ac:dyDescent="0.3">
      <c r="A726" s="1">
        <v>171</v>
      </c>
      <c r="B726" s="1" t="s">
        <v>4146</v>
      </c>
      <c r="C726" s="1" t="s">
        <v>4147</v>
      </c>
      <c r="D726" s="1">
        <v>20.138999999999999</v>
      </c>
      <c r="E726" s="1" t="s">
        <v>4148</v>
      </c>
      <c r="F726" s="1" t="s">
        <v>4149</v>
      </c>
      <c r="G726" s="1">
        <v>492.30238000000003</v>
      </c>
      <c r="H726" s="2">
        <v>3740214.6170614599</v>
      </c>
      <c r="I726" s="1" t="s">
        <v>23</v>
      </c>
      <c r="J726" s="1">
        <v>492.60984000000002</v>
      </c>
      <c r="K726" s="1">
        <v>493.30966000000001</v>
      </c>
      <c r="L726" s="7">
        <f>G726-J726</f>
        <v>-0.30745999999999185</v>
      </c>
      <c r="M726" s="1" t="s">
        <v>24</v>
      </c>
      <c r="N726" s="2">
        <v>417659.94759683701</v>
      </c>
      <c r="O726" s="1">
        <v>519979.688257395</v>
      </c>
      <c r="P726" s="1">
        <v>477669.094563647</v>
      </c>
      <c r="Q726" s="1">
        <f>STDEV(N726:P726)</f>
        <v>51414.3517370482</v>
      </c>
      <c r="R726" s="1">
        <v>471769.57680595969</v>
      </c>
      <c r="S726" s="1">
        <v>5.7853942821548465E-4</v>
      </c>
    </row>
    <row r="727" spans="1:19" x14ac:dyDescent="0.3">
      <c r="A727" s="1">
        <v>131</v>
      </c>
      <c r="B727" s="1" t="s">
        <v>1919</v>
      </c>
      <c r="C727" s="1" t="s">
        <v>1920</v>
      </c>
      <c r="D727" s="1">
        <v>14.420999999999999</v>
      </c>
      <c r="E727" s="1" t="s">
        <v>1921</v>
      </c>
      <c r="F727" s="1" t="s">
        <v>1922</v>
      </c>
      <c r="G727" s="1">
        <v>492.30241000000001</v>
      </c>
      <c r="H727" s="2">
        <v>12872014.249196701</v>
      </c>
      <c r="I727" s="1" t="s">
        <v>23</v>
      </c>
      <c r="J727" s="1">
        <v>492.61138</v>
      </c>
      <c r="K727" s="1">
        <v>493.30968999999999</v>
      </c>
      <c r="L727" s="7">
        <f>G727-J727</f>
        <v>-0.30896999999998798</v>
      </c>
      <c r="M727" s="1" t="s">
        <v>24</v>
      </c>
      <c r="N727" s="2">
        <v>12872014.249196701</v>
      </c>
      <c r="O727" s="1">
        <v>8718659.2963050604</v>
      </c>
      <c r="P727" s="1">
        <v>2395053.8147226302</v>
      </c>
      <c r="Q727" s="1">
        <f>STDEV(N727:P727)</f>
        <v>5275810.2631561719</v>
      </c>
      <c r="R727" s="1">
        <v>7995242.4534081304</v>
      </c>
      <c r="S727" s="1">
        <v>9.8047081135573463E-3</v>
      </c>
    </row>
    <row r="728" spans="1:19" x14ac:dyDescent="0.3">
      <c r="A728" s="1">
        <v>339</v>
      </c>
      <c r="B728" s="1" t="s">
        <v>2601</v>
      </c>
      <c r="C728" s="1" t="s">
        <v>2602</v>
      </c>
      <c r="D728" s="1">
        <v>1.569</v>
      </c>
      <c r="E728" s="1" t="s">
        <v>2146</v>
      </c>
      <c r="F728" s="1" t="s">
        <v>2603</v>
      </c>
      <c r="G728" s="1">
        <v>317.20251999999999</v>
      </c>
      <c r="H728" s="2">
        <v>4569486.3893203102</v>
      </c>
      <c r="I728" s="1" t="s">
        <v>23</v>
      </c>
      <c r="J728" s="1">
        <v>317.512</v>
      </c>
      <c r="K728" s="1">
        <v>318.20979999999997</v>
      </c>
      <c r="L728" s="7">
        <f>G728-J728</f>
        <v>-0.30948000000000775</v>
      </c>
      <c r="M728" s="1" t="s">
        <v>24</v>
      </c>
      <c r="N728" s="2">
        <v>779619.57681173505</v>
      </c>
      <c r="O728" s="1">
        <v>3443914.0603347002</v>
      </c>
      <c r="P728" s="1">
        <v>4569486.3893203102</v>
      </c>
      <c r="Q728" s="1">
        <f>STDEV(N728:P728)</f>
        <v>1946298.5647660752</v>
      </c>
      <c r="R728" s="1">
        <v>2931006.6754889153</v>
      </c>
      <c r="S728" s="1">
        <v>3.5943456498691811E-3</v>
      </c>
    </row>
    <row r="729" spans="1:19" x14ac:dyDescent="0.3">
      <c r="A729" s="1">
        <v>90</v>
      </c>
      <c r="B729" s="1" t="s">
        <v>990</v>
      </c>
      <c r="C729" s="1" t="s">
        <v>991</v>
      </c>
      <c r="D729" s="1">
        <v>0.56999999999999995</v>
      </c>
      <c r="E729" s="1" t="s">
        <v>992</v>
      </c>
      <c r="F729" s="1" t="s">
        <v>993</v>
      </c>
      <c r="G729" s="1">
        <v>318.06038999999998</v>
      </c>
      <c r="H729" s="2">
        <v>64140858.792536698</v>
      </c>
      <c r="I729" s="1" t="s">
        <v>17</v>
      </c>
      <c r="J729" s="1">
        <v>318.37088</v>
      </c>
      <c r="K729" s="1">
        <v>317.05311999999998</v>
      </c>
      <c r="L729" s="7">
        <f>G729-J729</f>
        <v>-0.3104900000000157</v>
      </c>
      <c r="M729" s="1" t="s">
        <v>994</v>
      </c>
      <c r="N729" s="2">
        <v>21392995.222743399</v>
      </c>
      <c r="O729" s="1">
        <v>39253848.838251904</v>
      </c>
      <c r="P729" s="1">
        <v>64140858.792536698</v>
      </c>
      <c r="Q729" s="1">
        <f>STDEV(N729:P729)</f>
        <v>21469952.631996177</v>
      </c>
      <c r="R729" s="1">
        <v>41595900.951177336</v>
      </c>
      <c r="S729" s="1">
        <v>5.1009793627069824E-2</v>
      </c>
    </row>
    <row r="730" spans="1:19" x14ac:dyDescent="0.3">
      <c r="A730" s="1">
        <v>884</v>
      </c>
      <c r="B730" s="1" t="s">
        <v>2251</v>
      </c>
      <c r="C730" s="1" t="s">
        <v>2252</v>
      </c>
      <c r="D730" s="1">
        <v>0.68</v>
      </c>
      <c r="E730" s="1" t="s">
        <v>2253</v>
      </c>
      <c r="F730" s="1" t="s">
        <v>2254</v>
      </c>
      <c r="G730" s="1">
        <v>420.27186999999998</v>
      </c>
      <c r="H730" s="2">
        <v>8435981.4517971501</v>
      </c>
      <c r="I730" s="1" t="s">
        <v>23</v>
      </c>
      <c r="J730" s="1">
        <v>420.58364</v>
      </c>
      <c r="K730" s="1">
        <v>421.27913999999998</v>
      </c>
      <c r="L730" s="7">
        <f>G730-J730</f>
        <v>-0.31177000000002408</v>
      </c>
      <c r="M730" s="1" t="s">
        <v>24</v>
      </c>
      <c r="N730" s="2">
        <v>4917048.7372696502</v>
      </c>
      <c r="O730" s="1">
        <v>4681859.9958725004</v>
      </c>
      <c r="P730" s="1">
        <v>5877629.6299530696</v>
      </c>
      <c r="Q730" s="1">
        <f>STDEV(N730:P730)</f>
        <v>633494.85833978013</v>
      </c>
      <c r="R730" s="1">
        <v>5158846.1210317397</v>
      </c>
      <c r="S730" s="1">
        <v>6.3263848112464173E-3</v>
      </c>
    </row>
    <row r="731" spans="1:19" x14ac:dyDescent="0.3">
      <c r="A731" s="1">
        <v>787</v>
      </c>
      <c r="B731" s="1" t="s">
        <v>3150</v>
      </c>
      <c r="C731" s="1" t="s">
        <v>3151</v>
      </c>
      <c r="D731" s="1">
        <v>17.09</v>
      </c>
      <c r="E731" s="1" t="s">
        <v>3152</v>
      </c>
      <c r="F731" s="1" t="s">
        <v>3153</v>
      </c>
      <c r="G731" s="1">
        <v>398.35176000000001</v>
      </c>
      <c r="H731" s="2">
        <v>39142480.048722297</v>
      </c>
      <c r="I731" s="1" t="s">
        <v>23</v>
      </c>
      <c r="J731" s="1">
        <v>398.66424000000001</v>
      </c>
      <c r="K731" s="1">
        <v>399.35903999999999</v>
      </c>
      <c r="L731" s="7">
        <f>G731-J731</f>
        <v>-0.31247999999999365</v>
      </c>
      <c r="M731" s="1" t="s">
        <v>3154</v>
      </c>
      <c r="N731" s="2">
        <v>1350881.01183541</v>
      </c>
      <c r="O731" s="1">
        <v>1750927.9504308801</v>
      </c>
      <c r="P731" s="1">
        <v>1820398.90108939</v>
      </c>
      <c r="Q731" s="1">
        <f>STDEV(N731:P731)</f>
        <v>253413.63235973104</v>
      </c>
      <c r="R731" s="1">
        <v>1640735.9544518935</v>
      </c>
      <c r="S731" s="1">
        <v>2.0120637014531513E-3</v>
      </c>
    </row>
    <row r="732" spans="1:19" x14ac:dyDescent="0.3">
      <c r="A732" s="1">
        <v>966</v>
      </c>
      <c r="B732" s="1" t="s">
        <v>3114</v>
      </c>
      <c r="C732" s="1" t="s">
        <v>3115</v>
      </c>
      <c r="D732" s="1">
        <v>20.282</v>
      </c>
      <c r="E732" s="1"/>
      <c r="F732" s="1" t="s">
        <v>3116</v>
      </c>
      <c r="G732" s="1">
        <v>378.10347000000002</v>
      </c>
      <c r="H732" s="2">
        <v>81382288.430354401</v>
      </c>
      <c r="I732" s="1" t="s">
        <v>23</v>
      </c>
      <c r="J732" s="1">
        <v>378.41624000000002</v>
      </c>
      <c r="K732" s="1">
        <v>379.11075</v>
      </c>
      <c r="L732" s="7">
        <f>G732-J732</f>
        <v>-0.31277000000000044</v>
      </c>
      <c r="M732" s="1" t="s">
        <v>3117</v>
      </c>
      <c r="N732" s="2">
        <v>1058104.4380314799</v>
      </c>
      <c r="O732" s="1">
        <v>2587007.6485430798</v>
      </c>
      <c r="P732" s="1">
        <v>1584250.0679444999</v>
      </c>
      <c r="Q732" s="1">
        <f>STDEV(N732:P732)</f>
        <v>776734.29781759565</v>
      </c>
      <c r="R732" s="1">
        <v>1743120.7181730198</v>
      </c>
      <c r="S732" s="1">
        <v>2.1376199593666646E-3</v>
      </c>
    </row>
    <row r="733" spans="1:19" x14ac:dyDescent="0.3">
      <c r="A733" s="1">
        <v>144</v>
      </c>
      <c r="B733" s="1" t="s">
        <v>2975</v>
      </c>
      <c r="C733" s="1" t="s">
        <v>2976</v>
      </c>
      <c r="D733" s="1">
        <v>14.178000000000001</v>
      </c>
      <c r="E733" s="1" t="s">
        <v>2977</v>
      </c>
      <c r="F733" s="1" t="s">
        <v>2978</v>
      </c>
      <c r="G733" s="1">
        <v>432.24547000000001</v>
      </c>
      <c r="H733" s="2">
        <v>6797733.2258858699</v>
      </c>
      <c r="I733" s="1" t="s">
        <v>23</v>
      </c>
      <c r="J733" s="1">
        <v>432.55941999999999</v>
      </c>
      <c r="K733" s="1">
        <v>433.25274999999999</v>
      </c>
      <c r="L733" s="7">
        <f>G733-J733</f>
        <v>-0.31394999999997708</v>
      </c>
      <c r="M733" s="1" t="s">
        <v>24</v>
      </c>
      <c r="N733" s="2">
        <v>1797869.9482110401</v>
      </c>
      <c r="O733" s="1">
        <v>2778129.13500776</v>
      </c>
      <c r="P733" s="1">
        <v>1411106.26970013</v>
      </c>
      <c r="Q733" s="1">
        <f>STDEV(N733:P733)</f>
        <v>704656.62212036923</v>
      </c>
      <c r="R733" s="1">
        <v>1995701.7843063101</v>
      </c>
      <c r="S733" s="1">
        <v>2.4473646160021096E-3</v>
      </c>
    </row>
    <row r="734" spans="1:19" x14ac:dyDescent="0.3">
      <c r="A734" s="1">
        <v>908</v>
      </c>
      <c r="B734" s="1" t="s">
        <v>4398</v>
      </c>
      <c r="C734" s="1" t="s">
        <v>4399</v>
      </c>
      <c r="D734" s="1">
        <v>7.2080000000000002</v>
      </c>
      <c r="E734" s="1"/>
      <c r="F734" s="1" t="s">
        <v>4400</v>
      </c>
      <c r="G734" s="1">
        <v>448.06180999999998</v>
      </c>
      <c r="H734" s="2">
        <v>34869301.126846597</v>
      </c>
      <c r="I734" s="1" t="s">
        <v>17</v>
      </c>
      <c r="J734" s="1">
        <v>448.37689999999998</v>
      </c>
      <c r="K734" s="1">
        <v>447.05453</v>
      </c>
      <c r="L734" s="7">
        <f>G734-J734</f>
        <v>-0.31508999999999787</v>
      </c>
      <c r="M734" s="1" t="s">
        <v>4401</v>
      </c>
      <c r="N734" s="2">
        <v>304126.66657297697</v>
      </c>
      <c r="O734" s="1">
        <v>226841.10185484201</v>
      </c>
      <c r="P734" s="1">
        <v>202350.071742995</v>
      </c>
      <c r="Q734" s="1">
        <f>STDEV(N734:P734)</f>
        <v>53121.471372893429</v>
      </c>
      <c r="R734" s="1">
        <v>244439.28005693798</v>
      </c>
      <c r="S734" s="1">
        <v>2.99760239469005E-4</v>
      </c>
    </row>
    <row r="735" spans="1:19" x14ac:dyDescent="0.3">
      <c r="A735" s="1">
        <v>649</v>
      </c>
      <c r="B735" s="1" t="s">
        <v>3535</v>
      </c>
      <c r="C735" s="1" t="s">
        <v>3536</v>
      </c>
      <c r="D735" s="1">
        <v>6.2220000000000004</v>
      </c>
      <c r="E735" s="1" t="s">
        <v>3537</v>
      </c>
      <c r="F735" s="1" t="s">
        <v>3538</v>
      </c>
      <c r="G735" s="1">
        <v>448.19202999999999</v>
      </c>
      <c r="H735" s="2">
        <v>1861212.3821096099</v>
      </c>
      <c r="I735" s="1" t="s">
        <v>17</v>
      </c>
      <c r="J735" s="1">
        <v>448.50761999999997</v>
      </c>
      <c r="K735" s="1">
        <v>447.18475999999998</v>
      </c>
      <c r="L735" s="7">
        <f>G735-J735</f>
        <v>-0.31558999999998605</v>
      </c>
      <c r="M735" s="1" t="s">
        <v>24</v>
      </c>
      <c r="N735" s="2">
        <v>1861212.3821096099</v>
      </c>
      <c r="O735" s="1">
        <v>906876.97746143804</v>
      </c>
      <c r="P735" s="1">
        <v>203633.634648751</v>
      </c>
      <c r="Q735" s="1">
        <f>STDEV(N735:P735)</f>
        <v>831952.98022276699</v>
      </c>
      <c r="R735" s="1">
        <v>990574.33140659973</v>
      </c>
      <c r="S735" s="1">
        <v>1.2147589320551343E-3</v>
      </c>
    </row>
    <row r="736" spans="1:19" x14ac:dyDescent="0.3">
      <c r="A736" s="1">
        <v>260</v>
      </c>
      <c r="B736" s="1" t="s">
        <v>754</v>
      </c>
      <c r="C736" s="1" t="s">
        <v>755</v>
      </c>
      <c r="D736" s="1">
        <v>2.0289999999999999</v>
      </c>
      <c r="E736" s="1" t="s">
        <v>756</v>
      </c>
      <c r="F736" s="1" t="s">
        <v>757</v>
      </c>
      <c r="G736" s="1">
        <v>399.20713999999998</v>
      </c>
      <c r="H736" s="2">
        <v>786090522.11804199</v>
      </c>
      <c r="I736" s="1" t="s">
        <v>150</v>
      </c>
      <c r="J736" s="1">
        <v>399.52312000000001</v>
      </c>
      <c r="K736" s="1">
        <v>422.19632000000001</v>
      </c>
      <c r="L736" s="7">
        <f>G736-J736</f>
        <v>-0.31598000000002457</v>
      </c>
      <c r="M736" s="1" t="s">
        <v>758</v>
      </c>
      <c r="N736" s="2">
        <v>975095.62648207694</v>
      </c>
      <c r="O736" s="1">
        <v>1093626.5145982599</v>
      </c>
      <c r="P736" s="1">
        <v>178079990.99607</v>
      </c>
      <c r="Q736" s="1">
        <f>STDEV(N736:P736)</f>
        <v>102217359.27735275</v>
      </c>
      <c r="R736" s="1">
        <v>60049571.045716785</v>
      </c>
      <c r="S736" s="1">
        <v>7.3639857687693197E-2</v>
      </c>
    </row>
    <row r="737" spans="1:19" x14ac:dyDescent="0.3">
      <c r="A737" s="1">
        <v>170</v>
      </c>
      <c r="B737" s="1" t="s">
        <v>1112</v>
      </c>
      <c r="C737" s="1" t="s">
        <v>1113</v>
      </c>
      <c r="D737" s="1">
        <v>1.0549999999999999</v>
      </c>
      <c r="E737" s="1" t="s">
        <v>1114</v>
      </c>
      <c r="F737" s="1" t="s">
        <v>1115</v>
      </c>
      <c r="G737" s="1">
        <v>506.31938000000002</v>
      </c>
      <c r="H737" s="2">
        <v>110179534.92908099</v>
      </c>
      <c r="I737" s="1" t="s">
        <v>23</v>
      </c>
      <c r="J737" s="1">
        <v>506.63641999999999</v>
      </c>
      <c r="K737" s="1">
        <v>507.32666</v>
      </c>
      <c r="L737" s="7">
        <f>G737-J737</f>
        <v>-0.31703999999996313</v>
      </c>
      <c r="M737" s="1" t="s">
        <v>1116</v>
      </c>
      <c r="N737" s="2">
        <v>4946524.2800813103</v>
      </c>
      <c r="O737" s="1">
        <v>30569303.436627202</v>
      </c>
      <c r="P737" s="1">
        <v>63932922.948200896</v>
      </c>
      <c r="Q737" s="1">
        <f>STDEV(N737:P737)</f>
        <v>29577731.337535344</v>
      </c>
      <c r="R737" s="1">
        <v>33149583.554969802</v>
      </c>
      <c r="S737" s="1">
        <v>4.0651924283285817E-2</v>
      </c>
    </row>
    <row r="738" spans="1:19" x14ac:dyDescent="0.3">
      <c r="A738" s="1">
        <v>352</v>
      </c>
      <c r="B738" s="1" t="s">
        <v>1481</v>
      </c>
      <c r="C738" s="1" t="s">
        <v>1482</v>
      </c>
      <c r="D738" s="1">
        <v>24.962</v>
      </c>
      <c r="E738" s="1" t="s">
        <v>1483</v>
      </c>
      <c r="F738" s="1" t="s">
        <v>1484</v>
      </c>
      <c r="G738" s="1">
        <v>356.26911999999999</v>
      </c>
      <c r="H738" s="2">
        <v>30051445.6207099</v>
      </c>
      <c r="I738" s="1" t="s">
        <v>23</v>
      </c>
      <c r="J738" s="1">
        <v>356.58780000000002</v>
      </c>
      <c r="K738" s="1">
        <v>357.27640000000002</v>
      </c>
      <c r="L738" s="7">
        <f>G738-J738</f>
        <v>-0.31868000000002894</v>
      </c>
      <c r="M738" s="1" t="s">
        <v>39</v>
      </c>
      <c r="N738" s="2">
        <v>10586186.968873</v>
      </c>
      <c r="O738" s="1">
        <v>17467498.766611401</v>
      </c>
      <c r="P738" s="1">
        <v>18452112.703142099</v>
      </c>
      <c r="Q738" s="1">
        <f>STDEV(N738:P738)</f>
        <v>4285531.945175943</v>
      </c>
      <c r="R738" s="1">
        <v>15501932.8128755</v>
      </c>
      <c r="S738" s="1">
        <v>1.9010296099454958E-2</v>
      </c>
    </row>
    <row r="739" spans="1:19" x14ac:dyDescent="0.3">
      <c r="A739" s="1">
        <v>419</v>
      </c>
      <c r="B739" s="1" t="s">
        <v>3372</v>
      </c>
      <c r="C739" s="1" t="s">
        <v>3373</v>
      </c>
      <c r="D739" s="1">
        <v>16.814</v>
      </c>
      <c r="E739" s="1" t="s">
        <v>3374</v>
      </c>
      <c r="F739" s="1" t="s">
        <v>3375</v>
      </c>
      <c r="G739" s="1">
        <v>726.53458999999998</v>
      </c>
      <c r="H739" s="2">
        <v>24874823.5333938</v>
      </c>
      <c r="I739" s="1" t="s">
        <v>23</v>
      </c>
      <c r="J739" s="1">
        <v>726.85440000000006</v>
      </c>
      <c r="K739" s="1">
        <v>727.54187000000002</v>
      </c>
      <c r="L739" s="7">
        <f>G739-J739</f>
        <v>-0.31981000000007498</v>
      </c>
      <c r="M739" s="1" t="s">
        <v>3376</v>
      </c>
      <c r="N739" s="2">
        <v>1031545.3600635401</v>
      </c>
      <c r="O739" s="1">
        <v>1288410.9299041801</v>
      </c>
      <c r="P739" s="1">
        <v>1197192.68208722</v>
      </c>
      <c r="Q739" s="1">
        <f>STDEV(N739:P739)</f>
        <v>130217.59033630967</v>
      </c>
      <c r="R739" s="1">
        <v>1172382.9906849803</v>
      </c>
      <c r="S739" s="1">
        <v>1.437714126613601E-3</v>
      </c>
    </row>
    <row r="740" spans="1:19" x14ac:dyDescent="0.3">
      <c r="A740" s="1">
        <v>208</v>
      </c>
      <c r="B740" s="1" t="s">
        <v>874</v>
      </c>
      <c r="C740" s="1" t="s">
        <v>875</v>
      </c>
      <c r="D740" s="1">
        <v>13.186</v>
      </c>
      <c r="E740" s="1" t="s">
        <v>876</v>
      </c>
      <c r="F740" s="1" t="s">
        <v>877</v>
      </c>
      <c r="G740" s="1">
        <v>652.41111999999998</v>
      </c>
      <c r="H740" s="2">
        <v>168078552.27656901</v>
      </c>
      <c r="I740" s="1" t="s">
        <v>23</v>
      </c>
      <c r="J740" s="1">
        <v>652.73126000000002</v>
      </c>
      <c r="K740" s="1">
        <v>653.41840000000002</v>
      </c>
      <c r="L740" s="7">
        <f>G740-J740</f>
        <v>-0.32014000000003762</v>
      </c>
      <c r="M740" s="1" t="s">
        <v>878</v>
      </c>
      <c r="N740" s="2">
        <v>73414804.526082307</v>
      </c>
      <c r="O740" s="1">
        <v>60462244.017100103</v>
      </c>
      <c r="P740" s="1">
        <v>16323780.6763172</v>
      </c>
      <c r="Q740" s="1">
        <f>STDEV(N740:P740)</f>
        <v>29931471.102166403</v>
      </c>
      <c r="R740" s="1">
        <v>50066943.073166527</v>
      </c>
      <c r="S740" s="1">
        <v>6.1397983342110822E-2</v>
      </c>
    </row>
    <row r="741" spans="1:19" x14ac:dyDescent="0.3">
      <c r="A741" s="1">
        <v>420</v>
      </c>
      <c r="B741" s="1" t="s">
        <v>331</v>
      </c>
      <c r="C741" s="1"/>
      <c r="D741" s="1">
        <v>1.69</v>
      </c>
      <c r="E741" s="1" t="s">
        <v>332</v>
      </c>
      <c r="F741" s="1" t="s">
        <v>333</v>
      </c>
      <c r="G741" s="1">
        <v>83.073819999999998</v>
      </c>
      <c r="H741" s="2">
        <v>181108262.30957499</v>
      </c>
      <c r="I741" s="1" t="s">
        <v>23</v>
      </c>
      <c r="J741" s="1">
        <v>83.394540000000006</v>
      </c>
      <c r="K741" s="1">
        <v>84.081090000000003</v>
      </c>
      <c r="L741" s="7">
        <f>G741-J741</f>
        <v>-0.32072000000000855</v>
      </c>
      <c r="M741" s="1" t="s">
        <v>334</v>
      </c>
      <c r="N741" s="2">
        <v>142043611.84231001</v>
      </c>
      <c r="O741" s="1">
        <v>140043734.059095</v>
      </c>
      <c r="P741" s="1">
        <v>181108262.30957499</v>
      </c>
      <c r="Q741" s="1">
        <f>STDEV(N741:P741)</f>
        <v>23152904.453192391</v>
      </c>
      <c r="R741" s="1">
        <v>154398536.07032666</v>
      </c>
      <c r="S741" s="1">
        <v>0.18934167264493743</v>
      </c>
    </row>
    <row r="742" spans="1:19" x14ac:dyDescent="0.3">
      <c r="A742" s="1">
        <v>252</v>
      </c>
      <c r="B742" s="1" t="s">
        <v>4558</v>
      </c>
      <c r="C742" s="1" t="s">
        <v>4559</v>
      </c>
      <c r="D742" s="1">
        <v>7.077</v>
      </c>
      <c r="E742" s="1" t="s">
        <v>4560</v>
      </c>
      <c r="F742" s="1" t="s">
        <v>4561</v>
      </c>
      <c r="G742" s="1">
        <v>407.22102000000001</v>
      </c>
      <c r="H742" s="2">
        <v>1072179.53149637</v>
      </c>
      <c r="I742" s="1" t="s">
        <v>17</v>
      </c>
      <c r="J742" s="1">
        <v>407.54358000000002</v>
      </c>
      <c r="K742" s="1">
        <v>406.21375</v>
      </c>
      <c r="L742" s="7">
        <f>G742-J742</f>
        <v>-0.32256000000000995</v>
      </c>
      <c r="M742" s="1" t="s">
        <v>24</v>
      </c>
      <c r="N742" s="2">
        <v>100883.286253051</v>
      </c>
      <c r="O742" s="1">
        <v>117157.73851521</v>
      </c>
      <c r="P742" s="1">
        <v>116177.828467502</v>
      </c>
      <c r="Q742" s="1">
        <f>STDEV(N742:P742)</f>
        <v>9126.3450304098078</v>
      </c>
      <c r="R742" s="1">
        <v>111406.28441192101</v>
      </c>
      <c r="S742" s="1">
        <v>1.3661950929445824E-4</v>
      </c>
    </row>
    <row r="743" spans="1:19" x14ac:dyDescent="0.3">
      <c r="A743" s="1">
        <v>644</v>
      </c>
      <c r="B743" s="1" t="s">
        <v>563</v>
      </c>
      <c r="C743" s="1" t="s">
        <v>564</v>
      </c>
      <c r="D743" s="1">
        <v>1.173</v>
      </c>
      <c r="E743" s="1" t="s">
        <v>565</v>
      </c>
      <c r="F743" s="1" t="s">
        <v>566</v>
      </c>
      <c r="G743" s="1">
        <v>522.13256000000001</v>
      </c>
      <c r="H743" s="2">
        <v>106831404.63077401</v>
      </c>
      <c r="I743" s="1" t="s">
        <v>17</v>
      </c>
      <c r="J743" s="1">
        <v>522.45543999999995</v>
      </c>
      <c r="K743" s="1">
        <v>521.12527999999998</v>
      </c>
      <c r="L743" s="7">
        <f>G743-J743</f>
        <v>-0.32287999999994099</v>
      </c>
      <c r="M743" s="1" t="s">
        <v>567</v>
      </c>
      <c r="N743" s="2">
        <v>71335891.436611503</v>
      </c>
      <c r="O743" s="1">
        <v>89835307.408921793</v>
      </c>
      <c r="P743" s="1">
        <v>106831404.63077401</v>
      </c>
      <c r="Q743" s="1">
        <f>STDEV(N743:P743)</f>
        <v>17753061.562296685</v>
      </c>
      <c r="R743" s="1">
        <v>89334201.158769116</v>
      </c>
      <c r="S743" s="1">
        <v>0.10955212077979946</v>
      </c>
    </row>
    <row r="744" spans="1:19" x14ac:dyDescent="0.3">
      <c r="A744" s="1">
        <v>971</v>
      </c>
      <c r="B744" s="1" t="s">
        <v>725</v>
      </c>
      <c r="C744" s="1" t="s">
        <v>726</v>
      </c>
      <c r="D744" s="1">
        <v>5.6109999999999998</v>
      </c>
      <c r="E744" s="1"/>
      <c r="F744" s="1" t="s">
        <v>727</v>
      </c>
      <c r="G744" s="1">
        <v>378.09303</v>
      </c>
      <c r="H744" s="2">
        <v>106459385.500604</v>
      </c>
      <c r="I744" s="1" t="s">
        <v>17</v>
      </c>
      <c r="J744" s="1">
        <v>378.41624000000002</v>
      </c>
      <c r="K744" s="1">
        <v>377.08575000000002</v>
      </c>
      <c r="L744" s="7">
        <f>G744-J744</f>
        <v>-0.32321000000001732</v>
      </c>
      <c r="M744" s="1" t="s">
        <v>728</v>
      </c>
      <c r="N744" s="2">
        <v>52057031.861918204</v>
      </c>
      <c r="O744" s="1">
        <v>65719255.310464799</v>
      </c>
      <c r="P744" s="1">
        <v>69504439.916569501</v>
      </c>
      <c r="Q744" s="1">
        <f>STDEV(N744:P744)</f>
        <v>9177835.8005016092</v>
      </c>
      <c r="R744" s="1">
        <v>62426909.029650837</v>
      </c>
      <c r="S744" s="1">
        <v>7.6555229567355249E-2</v>
      </c>
    </row>
    <row r="745" spans="1:19" x14ac:dyDescent="0.3">
      <c r="A745" s="1">
        <v>794</v>
      </c>
      <c r="B745" s="1" t="s">
        <v>2447</v>
      </c>
      <c r="C745" s="1" t="s">
        <v>2448</v>
      </c>
      <c r="D745" s="1">
        <v>17.818999999999999</v>
      </c>
      <c r="E745" s="1" t="s">
        <v>2449</v>
      </c>
      <c r="F745" s="1" t="s">
        <v>2450</v>
      </c>
      <c r="G745" s="1">
        <v>412.36727000000002</v>
      </c>
      <c r="H745" s="2">
        <v>510923754.76275301</v>
      </c>
      <c r="I745" s="1" t="s">
        <v>23</v>
      </c>
      <c r="J745" s="1">
        <v>412.69081999999997</v>
      </c>
      <c r="K745" s="1">
        <v>413.37454000000002</v>
      </c>
      <c r="L745" s="7">
        <f>G745-J745</f>
        <v>-0.32354999999995471</v>
      </c>
      <c r="M745" s="1" t="s">
        <v>2451</v>
      </c>
      <c r="N745" s="2">
        <v>3827144.3281598198</v>
      </c>
      <c r="O745" s="1">
        <v>3928398.8849778399</v>
      </c>
      <c r="P745" s="1">
        <v>4148114.5895679202</v>
      </c>
      <c r="Q745" s="1">
        <f>STDEV(N745:P745)</f>
        <v>164088.07839506672</v>
      </c>
      <c r="R745" s="1">
        <v>3967885.9342351933</v>
      </c>
      <c r="S745" s="1">
        <v>4.8658891384190965E-3</v>
      </c>
    </row>
    <row r="746" spans="1:19" x14ac:dyDescent="0.3">
      <c r="A746" s="1">
        <v>809</v>
      </c>
      <c r="B746" s="1" t="s">
        <v>3207</v>
      </c>
      <c r="C746" s="1" t="s">
        <v>3208</v>
      </c>
      <c r="D746" s="1">
        <v>16.385999999999999</v>
      </c>
      <c r="E746" s="1" t="s">
        <v>3209</v>
      </c>
      <c r="F746" s="1" t="s">
        <v>3210</v>
      </c>
      <c r="G746" s="1">
        <v>412.36720000000003</v>
      </c>
      <c r="H746" s="2">
        <v>747613820.14118898</v>
      </c>
      <c r="I746" s="1" t="s">
        <v>23</v>
      </c>
      <c r="J746" s="1">
        <v>412.69081999999997</v>
      </c>
      <c r="K746" s="1">
        <v>413.37448000000001</v>
      </c>
      <c r="L746" s="7">
        <f>G746-J746</f>
        <v>-0.3236199999999485</v>
      </c>
      <c r="M746" s="1" t="s">
        <v>2451</v>
      </c>
      <c r="N746" s="2">
        <v>1258871.7219952501</v>
      </c>
      <c r="O746" s="1">
        <v>1658467.37405754</v>
      </c>
      <c r="P746" s="1">
        <v>1568233.63881422</v>
      </c>
      <c r="Q746" s="1">
        <f>STDEV(N746:P746)</f>
        <v>209572.42491199236</v>
      </c>
      <c r="R746" s="1">
        <v>1495190.9116223368</v>
      </c>
      <c r="S746" s="1">
        <v>1.8335792251367754E-3</v>
      </c>
    </row>
    <row r="747" spans="1:19" x14ac:dyDescent="0.3">
      <c r="A747" s="1">
        <v>112</v>
      </c>
      <c r="B747" s="1" t="s">
        <v>3844</v>
      </c>
      <c r="C747" s="1" t="s">
        <v>3845</v>
      </c>
      <c r="D747" s="1">
        <v>6.0039999999999996</v>
      </c>
      <c r="E747" s="1" t="s">
        <v>3846</v>
      </c>
      <c r="F747" s="1" t="s">
        <v>3847</v>
      </c>
      <c r="G747" s="1">
        <v>353.0849</v>
      </c>
      <c r="H747" s="2">
        <v>873390.27016884799</v>
      </c>
      <c r="I747" s="1" t="s">
        <v>17</v>
      </c>
      <c r="J747" s="1">
        <v>353.41162000000003</v>
      </c>
      <c r="K747" s="1">
        <v>352.07763</v>
      </c>
      <c r="L747" s="7">
        <f>G747-J747</f>
        <v>-0.32672000000002299</v>
      </c>
      <c r="M747" s="1" t="s">
        <v>3848</v>
      </c>
      <c r="N747" s="2">
        <v>476024.49281193601</v>
      </c>
      <c r="O747" s="1">
        <v>873390.27016884799</v>
      </c>
      <c r="P747" s="1">
        <v>806035.69283654902</v>
      </c>
      <c r="Q747" s="1">
        <f>STDEV(N747:P747)</f>
        <v>212659.19223167107</v>
      </c>
      <c r="R747" s="1">
        <v>718483.48527244432</v>
      </c>
      <c r="S747" s="1">
        <v>8.8108908498513746E-4</v>
      </c>
    </row>
    <row r="748" spans="1:19" x14ac:dyDescent="0.3">
      <c r="A748" s="1">
        <v>443</v>
      </c>
      <c r="B748" s="1" t="s">
        <v>1722</v>
      </c>
      <c r="C748" s="1" t="s">
        <v>1723</v>
      </c>
      <c r="D748" s="1">
        <v>11.773999999999999</v>
      </c>
      <c r="E748" s="1" t="s">
        <v>1724</v>
      </c>
      <c r="F748" s="1" t="s">
        <v>1725</v>
      </c>
      <c r="G748" s="1">
        <v>594.36951999999997</v>
      </c>
      <c r="H748" s="2">
        <v>134964935.69069999</v>
      </c>
      <c r="I748" s="1" t="s">
        <v>23</v>
      </c>
      <c r="J748" s="1">
        <v>594.69672000000003</v>
      </c>
      <c r="K748" s="1">
        <v>595.37679000000003</v>
      </c>
      <c r="L748" s="7">
        <f>G748-J748</f>
        <v>-0.32720000000006166</v>
      </c>
      <c r="M748" s="1" t="s">
        <v>54</v>
      </c>
      <c r="N748" s="2">
        <v>1507130.69528406</v>
      </c>
      <c r="O748" s="1">
        <v>4634411.4282407397</v>
      </c>
      <c r="P748" s="1">
        <v>25801807.969484899</v>
      </c>
      <c r="Q748" s="1">
        <f>STDEV(N748:P748)</f>
        <v>13216592.506987622</v>
      </c>
      <c r="R748" s="1">
        <v>10647783.364336567</v>
      </c>
      <c r="S748" s="1">
        <v>1.3057566240434621E-2</v>
      </c>
    </row>
    <row r="749" spans="1:19" x14ac:dyDescent="0.3">
      <c r="A749" s="1">
        <v>438</v>
      </c>
      <c r="B749" s="1" t="s">
        <v>50</v>
      </c>
      <c r="C749" s="1" t="s">
        <v>51</v>
      </c>
      <c r="D749" s="1">
        <v>18.631</v>
      </c>
      <c r="E749" s="1" t="s">
        <v>52</v>
      </c>
      <c r="F749" s="1" t="s">
        <v>53</v>
      </c>
      <c r="G749" s="1">
        <v>594.36947999999995</v>
      </c>
      <c r="H749" s="2">
        <v>13947211902.3715</v>
      </c>
      <c r="I749" s="1" t="s">
        <v>23</v>
      </c>
      <c r="J749" s="1">
        <v>594.69672000000003</v>
      </c>
      <c r="K749" s="1">
        <v>595.37675000000002</v>
      </c>
      <c r="L749" s="7">
        <f>G749-J749</f>
        <v>-0.32724000000007436</v>
      </c>
      <c r="M749" s="1" t="s">
        <v>54</v>
      </c>
      <c r="N749" s="2">
        <v>491732507.893592</v>
      </c>
      <c r="O749" s="1">
        <v>3235214141.2582302</v>
      </c>
      <c r="P749" s="1">
        <v>2221639021.2259798</v>
      </c>
      <c r="Q749" s="1">
        <f>STDEV(N749:P749)</f>
        <v>1387239617.6957142</v>
      </c>
      <c r="R749" s="1">
        <v>1982861890.1259339</v>
      </c>
      <c r="S749" s="1">
        <v>2.4316188252545268</v>
      </c>
    </row>
    <row r="750" spans="1:19" x14ac:dyDescent="0.3">
      <c r="A750" s="1">
        <v>362</v>
      </c>
      <c r="B750" s="1" t="s">
        <v>3211</v>
      </c>
      <c r="C750" s="1" t="s">
        <v>3212</v>
      </c>
      <c r="D750" s="1">
        <v>11.657</v>
      </c>
      <c r="E750" s="1" t="s">
        <v>3213</v>
      </c>
      <c r="F750" s="1" t="s">
        <v>3214</v>
      </c>
      <c r="G750" s="1">
        <v>425.27393999999998</v>
      </c>
      <c r="H750" s="2">
        <v>83086285.899307102</v>
      </c>
      <c r="I750" s="1" t="s">
        <v>23</v>
      </c>
      <c r="J750" s="1">
        <v>425.60345999999998</v>
      </c>
      <c r="K750" s="1">
        <v>426.28134</v>
      </c>
      <c r="L750" s="7">
        <f>G750-J750</f>
        <v>-0.32952000000000226</v>
      </c>
      <c r="M750" s="1" t="s">
        <v>3215</v>
      </c>
      <c r="N750" s="2">
        <v>1165010.59236211</v>
      </c>
      <c r="O750" s="1">
        <v>2204290.9088695599</v>
      </c>
      <c r="P750" s="1">
        <v>1106318.4679224901</v>
      </c>
      <c r="Q750" s="1">
        <f>STDEV(N750:P750)</f>
        <v>617669.25114097528</v>
      </c>
      <c r="R750" s="1">
        <v>1491873.3230513867</v>
      </c>
      <c r="S750" s="1">
        <v>1.8295108072284264E-3</v>
      </c>
    </row>
    <row r="751" spans="1:19" x14ac:dyDescent="0.3">
      <c r="A751" s="1">
        <v>427</v>
      </c>
      <c r="B751" s="1" t="s">
        <v>4209</v>
      </c>
      <c r="C751" s="1" t="s">
        <v>4210</v>
      </c>
      <c r="D751" s="1">
        <v>4.2539999999999996</v>
      </c>
      <c r="E751" s="1" t="s">
        <v>4211</v>
      </c>
      <c r="F751" s="1" t="s">
        <v>4212</v>
      </c>
      <c r="G751" s="1">
        <v>369.08031</v>
      </c>
      <c r="H751" s="2">
        <v>3423881.3220740301</v>
      </c>
      <c r="I751" s="1" t="s">
        <v>17</v>
      </c>
      <c r="J751" s="1">
        <v>369.41102000000001</v>
      </c>
      <c r="K751" s="1">
        <v>368.07303000000002</v>
      </c>
      <c r="L751" s="7">
        <f>G751-J751</f>
        <v>-0.3307100000000105</v>
      </c>
      <c r="M751" s="1" t="s">
        <v>4213</v>
      </c>
      <c r="N751" s="2">
        <v>393606.32267559599</v>
      </c>
      <c r="O751" s="1">
        <v>402298.90847300598</v>
      </c>
      <c r="P751" s="1">
        <v>433449.12422796898</v>
      </c>
      <c r="Q751" s="1">
        <f>STDEV(N751:P751)</f>
        <v>20949.724838956135</v>
      </c>
      <c r="R751" s="1">
        <v>409784.78512552363</v>
      </c>
      <c r="S751" s="1">
        <v>5.0252637502192323E-4</v>
      </c>
    </row>
    <row r="752" spans="1:19" x14ac:dyDescent="0.3">
      <c r="A752" s="1">
        <v>191</v>
      </c>
      <c r="B752" s="1" t="s">
        <v>1933</v>
      </c>
      <c r="C752" s="1" t="s">
        <v>1934</v>
      </c>
      <c r="D752" s="1">
        <v>1.544</v>
      </c>
      <c r="E752" s="1" t="s">
        <v>1935</v>
      </c>
      <c r="F752" s="1" t="s">
        <v>1936</v>
      </c>
      <c r="G752" s="1">
        <v>349.05207999999999</v>
      </c>
      <c r="H752" s="2">
        <v>19355858.3535963</v>
      </c>
      <c r="I752" s="1" t="s">
        <v>17</v>
      </c>
      <c r="J752" s="1">
        <v>349.38315999999998</v>
      </c>
      <c r="K752" s="1">
        <v>348.04480000000001</v>
      </c>
      <c r="L752" s="7">
        <f>G752-J752</f>
        <v>-0.33107999999998583</v>
      </c>
      <c r="M752" s="1" t="s">
        <v>1937</v>
      </c>
      <c r="N752" s="2">
        <v>2302553.8793613799</v>
      </c>
      <c r="O752" s="1">
        <v>2207698.35353994</v>
      </c>
      <c r="P752" s="1">
        <v>19355858.3535963</v>
      </c>
      <c r="Q752" s="1">
        <f>STDEV(N752:P752)</f>
        <v>9873226.2748748343</v>
      </c>
      <c r="R752" s="1">
        <v>7955370.1954992069</v>
      </c>
      <c r="S752" s="1">
        <v>9.7558120540690157E-3</v>
      </c>
    </row>
    <row r="753" spans="1:19" x14ac:dyDescent="0.3">
      <c r="A753" s="1">
        <v>322</v>
      </c>
      <c r="B753" s="1" t="s">
        <v>1320</v>
      </c>
      <c r="C753" s="1" t="s">
        <v>1321</v>
      </c>
      <c r="D753" s="1">
        <v>1.4490000000000001</v>
      </c>
      <c r="E753" s="1" t="s">
        <v>1322</v>
      </c>
      <c r="F753" s="1" t="s">
        <v>1323</v>
      </c>
      <c r="G753" s="1">
        <v>232.03312</v>
      </c>
      <c r="H753" s="2">
        <v>34784895.437330201</v>
      </c>
      <c r="I753" s="1" t="s">
        <v>17</v>
      </c>
      <c r="J753" s="1">
        <v>232.36446000000001</v>
      </c>
      <c r="K753" s="1">
        <v>231.02590000000001</v>
      </c>
      <c r="L753" s="7">
        <f>G753-J753</f>
        <v>-0.33134000000001151</v>
      </c>
      <c r="M753" s="1" t="s">
        <v>1324</v>
      </c>
      <c r="N753" s="2">
        <v>34784895.437330201</v>
      </c>
      <c r="O753" s="1">
        <v>25362196.469236799</v>
      </c>
      <c r="P753" s="1">
        <v>13083404.535610801</v>
      </c>
      <c r="Q753" s="1">
        <f>STDEV(N753:P753)</f>
        <v>10882024.126589047</v>
      </c>
      <c r="R753" s="1">
        <v>24410165.480725933</v>
      </c>
      <c r="S753" s="1">
        <v>2.9934620361653941E-2</v>
      </c>
    </row>
    <row r="754" spans="1:19" x14ac:dyDescent="0.3">
      <c r="A754" s="1">
        <v>136</v>
      </c>
      <c r="B754" s="1" t="s">
        <v>3355</v>
      </c>
      <c r="C754" s="1" t="s">
        <v>3356</v>
      </c>
      <c r="D754" s="1">
        <v>15.369</v>
      </c>
      <c r="E754" s="1" t="s">
        <v>3357</v>
      </c>
      <c r="F754" s="1" t="s">
        <v>3358</v>
      </c>
      <c r="G754" s="1">
        <v>616.50243</v>
      </c>
      <c r="H754" s="2">
        <v>8259342.5470484197</v>
      </c>
      <c r="I754" s="1" t="s">
        <v>23</v>
      </c>
      <c r="J754" s="1">
        <v>616.83471999999995</v>
      </c>
      <c r="K754" s="1">
        <v>617.50969999999995</v>
      </c>
      <c r="L754" s="7">
        <f>G754-J754</f>
        <v>-0.33228999999994357</v>
      </c>
      <c r="M754" s="1" t="s">
        <v>24</v>
      </c>
      <c r="N754" s="2">
        <v>1151021.0342105399</v>
      </c>
      <c r="O754" s="1">
        <v>1261483.9124260601</v>
      </c>
      <c r="P754" s="1">
        <v>1216371.7194732099</v>
      </c>
      <c r="Q754" s="1">
        <f>STDEV(N754:P754)</f>
        <v>55539.579702185642</v>
      </c>
      <c r="R754" s="1">
        <v>1209625.5553699366</v>
      </c>
      <c r="S754" s="1">
        <v>1.4833853465002001E-3</v>
      </c>
    </row>
    <row r="755" spans="1:19" x14ac:dyDescent="0.3">
      <c r="A755" s="1">
        <v>326</v>
      </c>
      <c r="B755" s="1" t="s">
        <v>2373</v>
      </c>
      <c r="C755" s="1" t="s">
        <v>2374</v>
      </c>
      <c r="D755" s="1">
        <v>21.117999999999999</v>
      </c>
      <c r="E755" s="1" t="s">
        <v>2375</v>
      </c>
      <c r="F755" s="1" t="s">
        <v>2376</v>
      </c>
      <c r="G755" s="1">
        <v>248.03045</v>
      </c>
      <c r="H755" s="2">
        <v>70322280.351226598</v>
      </c>
      <c r="I755" s="1" t="s">
        <v>17</v>
      </c>
      <c r="J755" s="1">
        <v>248.36385999999999</v>
      </c>
      <c r="K755" s="1">
        <v>247.02318</v>
      </c>
      <c r="L755" s="7">
        <f>G755-J755</f>
        <v>-0.33340999999998644</v>
      </c>
      <c r="M755" s="1" t="s">
        <v>2377</v>
      </c>
      <c r="N755" s="2">
        <v>2781790.1731193201</v>
      </c>
      <c r="O755" s="1">
        <v>2832803.61526014</v>
      </c>
      <c r="P755" s="1">
        <v>7530858.88743304</v>
      </c>
      <c r="Q755" s="1">
        <f>STDEV(N755:P755)</f>
        <v>2727269.0664516394</v>
      </c>
      <c r="R755" s="1">
        <v>4381817.5586041668</v>
      </c>
      <c r="S755" s="1">
        <v>5.3735008562073965E-3</v>
      </c>
    </row>
    <row r="756" spans="1:19" x14ac:dyDescent="0.3">
      <c r="A756" s="1">
        <v>206</v>
      </c>
      <c r="B756" s="1" t="s">
        <v>1352</v>
      </c>
      <c r="C756" s="1" t="s">
        <v>1353</v>
      </c>
      <c r="D756" s="1">
        <v>12.013999999999999</v>
      </c>
      <c r="E756" s="1" t="s">
        <v>1354</v>
      </c>
      <c r="F756" s="1" t="s">
        <v>1355</v>
      </c>
      <c r="G756" s="1">
        <v>645.40319</v>
      </c>
      <c r="H756" s="2">
        <v>209428722.50989899</v>
      </c>
      <c r="I756" s="1" t="s">
        <v>23</v>
      </c>
      <c r="J756" s="1">
        <v>645.73707999999999</v>
      </c>
      <c r="K756" s="1">
        <v>646.41051000000004</v>
      </c>
      <c r="L756" s="7">
        <f>G756-J756</f>
        <v>-0.33388999999999669</v>
      </c>
      <c r="M756" s="1" t="s">
        <v>24</v>
      </c>
      <c r="N756" s="2">
        <v>26446905.9867291</v>
      </c>
      <c r="O756" s="1">
        <v>24557012.713183202</v>
      </c>
      <c r="P756" s="1">
        <v>10326934.609318901</v>
      </c>
      <c r="Q756" s="1">
        <f>STDEV(N756:P756)</f>
        <v>8812115.680849066</v>
      </c>
      <c r="R756" s="1">
        <v>20443617.769743737</v>
      </c>
      <c r="S756" s="1">
        <v>2.5070372310226623E-2</v>
      </c>
    </row>
    <row r="757" spans="1:19" x14ac:dyDescent="0.3">
      <c r="A757" s="1">
        <v>158</v>
      </c>
      <c r="B757" s="1" t="s">
        <v>263</v>
      </c>
      <c r="C757" s="1" t="s">
        <v>264</v>
      </c>
      <c r="D757" s="1">
        <v>14.647</v>
      </c>
      <c r="E757" s="1" t="s">
        <v>265</v>
      </c>
      <c r="F757" s="1" t="s">
        <v>266</v>
      </c>
      <c r="G757" s="1">
        <v>573.39166999999998</v>
      </c>
      <c r="H757" s="2">
        <v>414673908.78471297</v>
      </c>
      <c r="I757" s="1" t="s">
        <v>23</v>
      </c>
      <c r="J757" s="1">
        <v>573.72562000000005</v>
      </c>
      <c r="K757" s="1">
        <v>574.39895000000001</v>
      </c>
      <c r="L757" s="7">
        <f>G757-J757</f>
        <v>-0.33395000000007258</v>
      </c>
      <c r="M757" s="1" t="s">
        <v>267</v>
      </c>
      <c r="N757" s="2">
        <v>414673908.78471297</v>
      </c>
      <c r="O757" s="1">
        <v>264519751.02899599</v>
      </c>
      <c r="P757" s="1">
        <v>20005624.322768699</v>
      </c>
      <c r="Q757" s="1">
        <f>STDEV(N757:P757)</f>
        <v>199205289.42541146</v>
      </c>
      <c r="R757" s="1">
        <v>233066428.04549256</v>
      </c>
      <c r="S757" s="1">
        <v>0.28581350864242783</v>
      </c>
    </row>
    <row r="758" spans="1:19" x14ac:dyDescent="0.3">
      <c r="A758" s="1">
        <v>987</v>
      </c>
      <c r="B758" s="1" t="s">
        <v>2517</v>
      </c>
      <c r="C758" s="1" t="s">
        <v>2518</v>
      </c>
      <c r="D758" s="1">
        <v>4.3159999999999998</v>
      </c>
      <c r="E758" s="1"/>
      <c r="F758" s="1" t="s">
        <v>2519</v>
      </c>
      <c r="G758" s="1">
        <v>394.08494999999999</v>
      </c>
      <c r="H758" s="2">
        <v>52601009.589717098</v>
      </c>
      <c r="I758" s="1" t="s">
        <v>23</v>
      </c>
      <c r="J758" s="1">
        <v>394.42</v>
      </c>
      <c r="K758" s="1">
        <v>395.09222</v>
      </c>
      <c r="L758" s="7">
        <f>G758-J758</f>
        <v>-0.33505000000002383</v>
      </c>
      <c r="M758" s="1" t="s">
        <v>2520</v>
      </c>
      <c r="N758" s="2">
        <v>2618630.9472142602</v>
      </c>
      <c r="O758" s="1">
        <v>3577920.0383129199</v>
      </c>
      <c r="P758" s="1">
        <v>3929337.0799152399</v>
      </c>
      <c r="Q758" s="1">
        <f>STDEV(N758:P758)</f>
        <v>678439.39347709052</v>
      </c>
      <c r="R758" s="1">
        <v>3375296.02181414</v>
      </c>
      <c r="S758" s="1">
        <v>4.1391855823749348E-3</v>
      </c>
    </row>
    <row r="759" spans="1:19" x14ac:dyDescent="0.3">
      <c r="A759" s="1">
        <v>962</v>
      </c>
      <c r="B759" s="1" t="s">
        <v>1795</v>
      </c>
      <c r="C759" s="1" t="s">
        <v>1796</v>
      </c>
      <c r="D759" s="1">
        <v>0.80200000000000005</v>
      </c>
      <c r="E759" s="1"/>
      <c r="F759" s="1" t="s">
        <v>1797</v>
      </c>
      <c r="G759" s="1">
        <v>348.10386999999997</v>
      </c>
      <c r="H759" s="2">
        <v>15641405.077987701</v>
      </c>
      <c r="I759" s="1" t="s">
        <v>23</v>
      </c>
      <c r="J759" s="1">
        <v>348.44</v>
      </c>
      <c r="K759" s="1">
        <v>349.11115000000001</v>
      </c>
      <c r="L759" s="7">
        <f>G759-J759</f>
        <v>-0.33613000000002557</v>
      </c>
      <c r="M759" s="1" t="s">
        <v>24</v>
      </c>
      <c r="N759" s="2">
        <v>15641405.077987701</v>
      </c>
      <c r="O759" s="1">
        <v>6967126.8730587903</v>
      </c>
      <c r="P759" s="1">
        <v>6142008.99216244</v>
      </c>
      <c r="Q759" s="1">
        <f>STDEV(N759:P759)</f>
        <v>5262484.3291812893</v>
      </c>
      <c r="R759" s="1">
        <v>9583513.6477363091</v>
      </c>
      <c r="S759" s="1">
        <v>1.1752433345944866E-2</v>
      </c>
    </row>
    <row r="760" spans="1:19" x14ac:dyDescent="0.3">
      <c r="A760" s="1">
        <v>334</v>
      </c>
      <c r="B760" s="1" t="s">
        <v>1928</v>
      </c>
      <c r="C760" s="1" t="s">
        <v>1929</v>
      </c>
      <c r="D760" s="1">
        <v>6.6130000000000004</v>
      </c>
      <c r="E760" s="1" t="s">
        <v>1930</v>
      </c>
      <c r="F760" s="1" t="s">
        <v>1931</v>
      </c>
      <c r="G760" s="1">
        <v>430.15794</v>
      </c>
      <c r="H760" s="2">
        <v>8085041.4279957702</v>
      </c>
      <c r="I760" s="1" t="s">
        <v>17</v>
      </c>
      <c r="J760" s="1">
        <v>430.4941</v>
      </c>
      <c r="K760" s="1">
        <v>429.15066000000002</v>
      </c>
      <c r="L760" s="7">
        <f>G760-J760</f>
        <v>-0.33616000000000668</v>
      </c>
      <c r="M760" s="1" t="s">
        <v>1932</v>
      </c>
      <c r="N760" s="2">
        <v>7803750.1169611402</v>
      </c>
      <c r="O760" s="1">
        <v>8085041.4279957702</v>
      </c>
      <c r="P760" s="1">
        <v>7979623.0584988296</v>
      </c>
      <c r="Q760" s="1">
        <f>STDEV(N760:P760)</f>
        <v>142108.60040598881</v>
      </c>
      <c r="R760" s="1">
        <v>7956138.201151914</v>
      </c>
      <c r="S760" s="1">
        <v>9.7567538730692818E-3</v>
      </c>
    </row>
    <row r="761" spans="1:19" x14ac:dyDescent="0.3">
      <c r="A761" s="1">
        <v>538</v>
      </c>
      <c r="B761" s="1" t="s">
        <v>4548</v>
      </c>
      <c r="C761" s="1" t="s">
        <v>4549</v>
      </c>
      <c r="D761" s="1">
        <v>7.0789999999999997</v>
      </c>
      <c r="E761" s="1" t="s">
        <v>4550</v>
      </c>
      <c r="F761" s="1" t="s">
        <v>4551</v>
      </c>
      <c r="G761" s="1">
        <v>611.18907999999999</v>
      </c>
      <c r="H761" s="2">
        <v>1194151.9349028401</v>
      </c>
      <c r="I761" s="1" t="s">
        <v>17</v>
      </c>
      <c r="J761" s="1">
        <v>611.52544</v>
      </c>
      <c r="K761" s="1">
        <v>610.18181000000004</v>
      </c>
      <c r="L761" s="7">
        <f>G761-J761</f>
        <v>-0.33636000000001332</v>
      </c>
      <c r="M761" s="1" t="s">
        <v>4552</v>
      </c>
      <c r="N761" s="2">
        <v>102289.644712754</v>
      </c>
      <c r="O761" s="1">
        <v>118790.970171316</v>
      </c>
      <c r="P761" s="1">
        <v>117797.39973608</v>
      </c>
      <c r="Q761" s="1">
        <f>STDEV(N761:P761)</f>
        <v>9253.5703916799448</v>
      </c>
      <c r="R761" s="1">
        <v>112959.33820671665</v>
      </c>
      <c r="S761" s="1">
        <v>1.3852404680302787E-4</v>
      </c>
    </row>
    <row r="762" spans="1:19" x14ac:dyDescent="0.3">
      <c r="A762" s="1">
        <v>920</v>
      </c>
      <c r="B762" s="1" t="s">
        <v>1448</v>
      </c>
      <c r="C762" s="1" t="s">
        <v>1449</v>
      </c>
      <c r="D762" s="1">
        <v>0.65600000000000003</v>
      </c>
      <c r="E762" s="1" t="s">
        <v>1450</v>
      </c>
      <c r="F762" s="1" t="s">
        <v>1451</v>
      </c>
      <c r="G762" s="1">
        <v>315.07022999999998</v>
      </c>
      <c r="H762" s="2">
        <v>21966063.8577451</v>
      </c>
      <c r="I762" s="1" t="s">
        <v>17</v>
      </c>
      <c r="J762" s="1">
        <v>315.4067</v>
      </c>
      <c r="K762" s="1">
        <v>314.06310999999999</v>
      </c>
      <c r="L762" s="7">
        <f>G762-J762</f>
        <v>-0.33647000000001981</v>
      </c>
      <c r="M762" s="1" t="s">
        <v>1452</v>
      </c>
      <c r="N762" s="2">
        <v>16596388.878388099</v>
      </c>
      <c r="O762" s="1">
        <v>19643490.1380594</v>
      </c>
      <c r="P762" s="1">
        <v>14371332.590841699</v>
      </c>
      <c r="Q762" s="1">
        <f>STDEV(N762:P762)</f>
        <v>2646738.4574265881</v>
      </c>
      <c r="R762" s="1">
        <v>16870403.869096398</v>
      </c>
      <c r="S762" s="1">
        <v>2.068847651065412E-2</v>
      </c>
    </row>
    <row r="763" spans="1:19" x14ac:dyDescent="0.3">
      <c r="A763" s="1">
        <v>803</v>
      </c>
      <c r="B763" s="1" t="s">
        <v>2188</v>
      </c>
      <c r="C763" s="1" t="s">
        <v>2189</v>
      </c>
      <c r="D763" s="1">
        <v>12.962</v>
      </c>
      <c r="E763" s="1" t="s">
        <v>2190</v>
      </c>
      <c r="F763" s="1" t="s">
        <v>2191</v>
      </c>
      <c r="G763" s="1">
        <v>464.29680000000002</v>
      </c>
      <c r="H763" s="2">
        <v>10869380.947983401</v>
      </c>
      <c r="I763" s="1" t="s">
        <v>17</v>
      </c>
      <c r="J763" s="1">
        <v>464.63466</v>
      </c>
      <c r="K763" s="1">
        <v>463.28951999999998</v>
      </c>
      <c r="L763" s="7">
        <f>G763-J763</f>
        <v>-0.33785999999997784</v>
      </c>
      <c r="M763" s="1" t="s">
        <v>2192</v>
      </c>
      <c r="N763" s="2">
        <v>10869380.947983401</v>
      </c>
      <c r="O763" s="1">
        <v>5174237.3553620996</v>
      </c>
      <c r="P763" s="1">
        <v>1220496.3585792501</v>
      </c>
      <c r="Q763" s="1">
        <f>STDEV(N763:P763)</f>
        <v>4850561.8614386283</v>
      </c>
      <c r="R763" s="1">
        <v>5754704.8873082502</v>
      </c>
      <c r="S763" s="1">
        <v>7.0570970209499788E-3</v>
      </c>
    </row>
    <row r="764" spans="1:19" x14ac:dyDescent="0.3">
      <c r="A764" s="1">
        <v>118</v>
      </c>
      <c r="B764" s="1" t="s">
        <v>2874</v>
      </c>
      <c r="C764" s="1" t="s">
        <v>2875</v>
      </c>
      <c r="D764" s="1">
        <v>0.97399999999999998</v>
      </c>
      <c r="E764" s="1" t="s">
        <v>2876</v>
      </c>
      <c r="F764" s="1" t="s">
        <v>2877</v>
      </c>
      <c r="G764" s="1">
        <v>368.08640000000003</v>
      </c>
      <c r="H764" s="2">
        <v>2675697.3238148699</v>
      </c>
      <c r="I764" s="1" t="s">
        <v>17</v>
      </c>
      <c r="J764" s="1">
        <v>368.42626000000001</v>
      </c>
      <c r="K764" s="1">
        <v>367.07911999999999</v>
      </c>
      <c r="L764" s="7">
        <f>G764-J764</f>
        <v>-0.33985999999998739</v>
      </c>
      <c r="M764" s="1" t="s">
        <v>2878</v>
      </c>
      <c r="N764" s="2">
        <v>2273024.0025454001</v>
      </c>
      <c r="O764" s="1">
        <v>2675697.3238148699</v>
      </c>
      <c r="P764" s="1">
        <v>1805638.0282121501</v>
      </c>
      <c r="Q764" s="1">
        <f>STDEV(N764:P764)</f>
        <v>435430.55905052501</v>
      </c>
      <c r="R764" s="1">
        <v>2251453.1181908068</v>
      </c>
      <c r="S764" s="1">
        <v>2.760997028402754E-3</v>
      </c>
    </row>
    <row r="765" spans="1:19" x14ac:dyDescent="0.3">
      <c r="A765" s="1">
        <v>662</v>
      </c>
      <c r="B765" s="1" t="s">
        <v>4572</v>
      </c>
      <c r="C765" s="1" t="s">
        <v>4573</v>
      </c>
      <c r="D765" s="1">
        <v>7.3819999999999997</v>
      </c>
      <c r="E765" s="1" t="s">
        <v>4574</v>
      </c>
      <c r="F765" s="1" t="s">
        <v>4575</v>
      </c>
      <c r="G765" s="1">
        <v>594.17810999999995</v>
      </c>
      <c r="H765" s="2">
        <v>167994.83034547701</v>
      </c>
      <c r="I765" s="1" t="s">
        <v>17</v>
      </c>
      <c r="J765" s="1">
        <v>594.5181</v>
      </c>
      <c r="K765" s="1">
        <v>593.17084</v>
      </c>
      <c r="L765" s="7">
        <f>G765-J765</f>
        <v>-0.33999000000005708</v>
      </c>
      <c r="M765" s="1" t="s">
        <v>24</v>
      </c>
      <c r="N765" s="2">
        <v>164129.691738703</v>
      </c>
      <c r="O765" s="1">
        <v>56962.842838951503</v>
      </c>
      <c r="P765" s="1">
        <v>104772.018366616</v>
      </c>
      <c r="Q765" s="1">
        <f>STDEV(N765:P765)</f>
        <v>53687.031574804903</v>
      </c>
      <c r="R765" s="1">
        <v>108621.51764809016</v>
      </c>
      <c r="S765" s="1">
        <v>1.3320450025091656E-4</v>
      </c>
    </row>
    <row r="766" spans="1:19" x14ac:dyDescent="0.3">
      <c r="A766" s="1">
        <v>291</v>
      </c>
      <c r="B766" s="1" t="s">
        <v>3626</v>
      </c>
      <c r="C766" s="1" t="s">
        <v>3627</v>
      </c>
      <c r="D766" s="1">
        <v>14.352</v>
      </c>
      <c r="E766" s="1" t="s">
        <v>3628</v>
      </c>
      <c r="F766" s="1" t="s">
        <v>3629</v>
      </c>
      <c r="G766" s="1">
        <v>483.38857000000002</v>
      </c>
      <c r="H766" s="2">
        <v>58907462.272564903</v>
      </c>
      <c r="I766" s="1" t="s">
        <v>23</v>
      </c>
      <c r="J766" s="1">
        <v>483.72895999999997</v>
      </c>
      <c r="K766" s="1">
        <v>484.39584000000002</v>
      </c>
      <c r="L766" s="7">
        <f>G766-J766</f>
        <v>-0.34038999999995667</v>
      </c>
      <c r="M766" s="1" t="s">
        <v>3630</v>
      </c>
      <c r="N766" s="2">
        <v>898167.99833708897</v>
      </c>
      <c r="O766" s="1">
        <v>1008021.21441518</v>
      </c>
      <c r="P766" s="1">
        <v>814173.76421494002</v>
      </c>
      <c r="Q766" s="1">
        <f>STDEV(N766:P766)</f>
        <v>97210.762776557371</v>
      </c>
      <c r="R766" s="1">
        <v>906787.65898906963</v>
      </c>
      <c r="S766" s="1">
        <v>1.1120098445012046E-3</v>
      </c>
    </row>
    <row r="767" spans="1:19" x14ac:dyDescent="0.3">
      <c r="A767" s="1">
        <v>223</v>
      </c>
      <c r="B767" s="1" t="s">
        <v>457</v>
      </c>
      <c r="C767" s="1" t="s">
        <v>458</v>
      </c>
      <c r="D767" s="1">
        <v>0.76800000000000002</v>
      </c>
      <c r="E767" s="1" t="s">
        <v>459</v>
      </c>
      <c r="F767" s="1" t="s">
        <v>460</v>
      </c>
      <c r="G767" s="1">
        <v>343.16064</v>
      </c>
      <c r="H767" s="2">
        <v>126634669.621296</v>
      </c>
      <c r="I767" s="1" t="s">
        <v>23</v>
      </c>
      <c r="J767" s="1">
        <v>343.50292000000002</v>
      </c>
      <c r="K767" s="1">
        <v>344.16791999999998</v>
      </c>
      <c r="L767" s="7">
        <f>G767-J767</f>
        <v>-0.34228000000001657</v>
      </c>
      <c r="M767" s="1" t="s">
        <v>461</v>
      </c>
      <c r="N767" s="2">
        <v>126634669.621296</v>
      </c>
      <c r="O767" s="1">
        <v>112594549.944971</v>
      </c>
      <c r="P767" s="1">
        <v>107666164.361699</v>
      </c>
      <c r="Q767" s="1">
        <f>STDEV(N767:P767)</f>
        <v>9842240.0631689802</v>
      </c>
      <c r="R767" s="1">
        <v>115631794.64265533</v>
      </c>
      <c r="S767" s="1">
        <v>0.14180132769266582</v>
      </c>
    </row>
    <row r="768" spans="1:19" x14ac:dyDescent="0.3">
      <c r="A768" s="1">
        <v>903</v>
      </c>
      <c r="B768" s="1" t="s">
        <v>2845</v>
      </c>
      <c r="C768" s="1" t="s">
        <v>2846</v>
      </c>
      <c r="D768" s="1">
        <v>13.962999999999999</v>
      </c>
      <c r="E768" s="1"/>
      <c r="F768" s="1" t="s">
        <v>2847</v>
      </c>
      <c r="G768" s="1">
        <v>454.34133000000003</v>
      </c>
      <c r="H768" s="2">
        <v>67846778.147144407</v>
      </c>
      <c r="I768" s="1" t="s">
        <v>23</v>
      </c>
      <c r="J768" s="1">
        <v>454.68444</v>
      </c>
      <c r="K768" s="1">
        <v>455.34859999999998</v>
      </c>
      <c r="L768" s="7">
        <f>G768-J768</f>
        <v>-0.34310999999996739</v>
      </c>
      <c r="M768" s="1" t="s">
        <v>2848</v>
      </c>
      <c r="N768" s="2">
        <v>2687175.6717262398</v>
      </c>
      <c r="O768" s="1">
        <v>2375027.9260607902</v>
      </c>
      <c r="P768" s="1">
        <v>1908261.4416505101</v>
      </c>
      <c r="Q768" s="1">
        <f>STDEV(N768:P768)</f>
        <v>392006.49312377989</v>
      </c>
      <c r="R768" s="1">
        <v>2323488.3464791798</v>
      </c>
      <c r="S768" s="1">
        <v>2.8493351108782763E-3</v>
      </c>
    </row>
    <row r="769" spans="1:19" x14ac:dyDescent="0.3">
      <c r="A769" s="1">
        <v>381</v>
      </c>
      <c r="B769" s="1" t="s">
        <v>2393</v>
      </c>
      <c r="C769" s="1" t="s">
        <v>2394</v>
      </c>
      <c r="D769" s="1">
        <v>9.6440000000000001</v>
      </c>
      <c r="E769" s="1" t="s">
        <v>2395</v>
      </c>
      <c r="F769" s="1" t="s">
        <v>2396</v>
      </c>
      <c r="G769" s="1">
        <v>493.28944999999999</v>
      </c>
      <c r="H769" s="2">
        <v>5233764.6721598804</v>
      </c>
      <c r="I769" s="1" t="s">
        <v>23</v>
      </c>
      <c r="J769" s="1">
        <v>493.63281999999998</v>
      </c>
      <c r="K769" s="1">
        <v>494.29653000000002</v>
      </c>
      <c r="L769" s="7">
        <f>G769-J769</f>
        <v>-0.34336999999999307</v>
      </c>
      <c r="M769" s="1" t="s">
        <v>24</v>
      </c>
      <c r="N769" s="2">
        <v>2670104.2155783302</v>
      </c>
      <c r="O769" s="1">
        <v>5233764.6721598804</v>
      </c>
      <c r="P769" s="1">
        <v>4587729.1681004297</v>
      </c>
      <c r="Q769" s="1">
        <f>STDEV(N769:P769)</f>
        <v>1333354.3082317263</v>
      </c>
      <c r="R769" s="1">
        <v>4163866.0186128803</v>
      </c>
      <c r="S769" s="1">
        <v>5.1062230037885546E-3</v>
      </c>
    </row>
    <row r="770" spans="1:19" x14ac:dyDescent="0.3">
      <c r="A770" s="1">
        <v>168</v>
      </c>
      <c r="B770" s="1" t="s">
        <v>792</v>
      </c>
      <c r="C770" s="1" t="s">
        <v>793</v>
      </c>
      <c r="D770" s="1">
        <v>12.146000000000001</v>
      </c>
      <c r="E770" s="1" t="s">
        <v>794</v>
      </c>
      <c r="F770" s="1" t="s">
        <v>795</v>
      </c>
      <c r="G770" s="1">
        <v>593.37175000000002</v>
      </c>
      <c r="H770" s="2">
        <v>482224514.20096201</v>
      </c>
      <c r="I770" s="1" t="s">
        <v>23</v>
      </c>
      <c r="J770" s="1">
        <v>593.71525999999994</v>
      </c>
      <c r="K770" s="1">
        <v>594.37901999999997</v>
      </c>
      <c r="L770" s="7">
        <f>G770-J770</f>
        <v>-0.34350999999992382</v>
      </c>
      <c r="M770" s="1" t="s">
        <v>796</v>
      </c>
      <c r="N770" s="2">
        <v>100113476.00500301</v>
      </c>
      <c r="O770" s="1">
        <v>44995423.1639807</v>
      </c>
      <c r="P770" s="1">
        <v>23602342.668058701</v>
      </c>
      <c r="Q770" s="1">
        <f>STDEV(N770:P770)</f>
        <v>39474922.77086471</v>
      </c>
      <c r="R770" s="1">
        <v>56237080.612347461</v>
      </c>
      <c r="S770" s="1">
        <v>6.896453281759099E-2</v>
      </c>
    </row>
    <row r="771" spans="1:19" x14ac:dyDescent="0.3">
      <c r="A771" s="1">
        <v>331</v>
      </c>
      <c r="B771" s="1" t="s">
        <v>4436</v>
      </c>
      <c r="C771" s="1" t="s">
        <v>4437</v>
      </c>
      <c r="D771" s="1">
        <v>3.8250000000000002</v>
      </c>
      <c r="E771" s="1" t="s">
        <v>4438</v>
      </c>
      <c r="F771" s="1" t="s">
        <v>4439</v>
      </c>
      <c r="G771" s="1">
        <v>357.10298999999998</v>
      </c>
      <c r="H771" s="2">
        <v>1169183.83395068</v>
      </c>
      <c r="I771" s="1" t="s">
        <v>17</v>
      </c>
      <c r="J771" s="1">
        <v>357.44668000000001</v>
      </c>
      <c r="K771" s="1">
        <v>356.09571</v>
      </c>
      <c r="L771" s="7">
        <f>G771-J771</f>
        <v>-0.3436900000000378</v>
      </c>
      <c r="M771" s="1" t="s">
        <v>24</v>
      </c>
      <c r="N771" s="2">
        <v>181734.17069404799</v>
      </c>
      <c r="O771" s="1">
        <v>236324.257169355</v>
      </c>
      <c r="P771" s="1">
        <v>249497.71385615299</v>
      </c>
      <c r="Q771" s="1">
        <f>STDEV(N771:P771)</f>
        <v>35929.364231185049</v>
      </c>
      <c r="R771" s="1">
        <v>222518.71390651865</v>
      </c>
      <c r="S771" s="1">
        <v>2.7287865907400761E-4</v>
      </c>
    </row>
    <row r="772" spans="1:19" x14ac:dyDescent="0.3">
      <c r="A772" s="1">
        <v>874</v>
      </c>
      <c r="B772" s="1" t="s">
        <v>3984</v>
      </c>
      <c r="C772" s="1" t="s">
        <v>3985</v>
      </c>
      <c r="D772" s="1">
        <v>11.742000000000001</v>
      </c>
      <c r="E772" s="1" t="s">
        <v>3986</v>
      </c>
      <c r="F772" s="1" t="s">
        <v>3987</v>
      </c>
      <c r="G772" s="1">
        <v>456.35633000000001</v>
      </c>
      <c r="H772" s="2">
        <v>4521724.2014176697</v>
      </c>
      <c r="I772" s="1" t="s">
        <v>23</v>
      </c>
      <c r="J772" s="1">
        <v>456.70031999999998</v>
      </c>
      <c r="K772" s="1">
        <v>457.36360999999999</v>
      </c>
      <c r="L772" s="7">
        <f>G772-J772</f>
        <v>-0.34398999999996249</v>
      </c>
      <c r="M772" s="1" t="s">
        <v>24</v>
      </c>
      <c r="N772" s="2">
        <v>586099.09115730098</v>
      </c>
      <c r="O772" s="1">
        <v>588518.98896441294</v>
      </c>
      <c r="P772" s="1">
        <v>672265.23267602804</v>
      </c>
      <c r="Q772" s="1">
        <f>STDEV(N772:P772)</f>
        <v>49064.401870445399</v>
      </c>
      <c r="R772" s="1">
        <v>615627.77093258069</v>
      </c>
      <c r="S772" s="1">
        <v>7.5495529194626379E-4</v>
      </c>
    </row>
    <row r="773" spans="1:19" x14ac:dyDescent="0.3">
      <c r="A773" s="1">
        <v>286</v>
      </c>
      <c r="B773" s="1" t="s">
        <v>3136</v>
      </c>
      <c r="C773" s="1" t="s">
        <v>3137</v>
      </c>
      <c r="D773" s="1">
        <v>1.8380000000000001</v>
      </c>
      <c r="E773" s="1" t="s">
        <v>3138</v>
      </c>
      <c r="F773" s="1" t="s">
        <v>3139</v>
      </c>
      <c r="G773" s="1">
        <v>247.03115</v>
      </c>
      <c r="H773" s="2">
        <v>9111536.6950870901</v>
      </c>
      <c r="I773" s="1" t="s">
        <v>23</v>
      </c>
      <c r="J773" s="1">
        <v>247.3758</v>
      </c>
      <c r="K773" s="1">
        <v>248.03842</v>
      </c>
      <c r="L773" s="7">
        <f>G773-J773</f>
        <v>-0.34465000000000146</v>
      </c>
      <c r="M773" s="1" t="s">
        <v>3140</v>
      </c>
      <c r="N773" s="2">
        <v>1391050.34439436</v>
      </c>
      <c r="O773" s="1">
        <v>1743198.7800691901</v>
      </c>
      <c r="P773" s="1">
        <v>1854762.6109612701</v>
      </c>
      <c r="Q773" s="1">
        <f>STDEV(N773:P773)</f>
        <v>242034.45872993857</v>
      </c>
      <c r="R773" s="1">
        <v>1663003.9118082735</v>
      </c>
      <c r="S773" s="1">
        <v>2.0393712938666098E-3</v>
      </c>
    </row>
    <row r="774" spans="1:19" x14ac:dyDescent="0.3">
      <c r="A774" s="1">
        <v>207</v>
      </c>
      <c r="B774" s="1" t="s">
        <v>1090</v>
      </c>
      <c r="C774" s="1" t="s">
        <v>1091</v>
      </c>
      <c r="D774" s="1">
        <v>0.77200000000000002</v>
      </c>
      <c r="E774" s="1" t="s">
        <v>1092</v>
      </c>
      <c r="F774" s="1" t="s">
        <v>1093</v>
      </c>
      <c r="G774" s="1">
        <v>359.15546000000001</v>
      </c>
      <c r="H774" s="2">
        <v>38337880.6982743</v>
      </c>
      <c r="I774" s="1" t="s">
        <v>156</v>
      </c>
      <c r="J774" s="1">
        <v>359.50232</v>
      </c>
      <c r="K774" s="1">
        <v>342.15215999999998</v>
      </c>
      <c r="L774" s="7">
        <f>G774-J774</f>
        <v>-0.3468599999999924</v>
      </c>
      <c r="M774" s="1" t="s">
        <v>1094</v>
      </c>
      <c r="N774" s="2">
        <v>38337880.6982743</v>
      </c>
      <c r="O774" s="1">
        <v>31169381.54126</v>
      </c>
      <c r="P774" s="1">
        <v>32074574.214306802</v>
      </c>
      <c r="Q774" s="1">
        <f>STDEV(N774:P774)</f>
        <v>3903753.7928589033</v>
      </c>
      <c r="R774" s="1">
        <v>33860612.151280366</v>
      </c>
      <c r="S774" s="1">
        <v>4.1523871305260834E-2</v>
      </c>
    </row>
    <row r="775" spans="1:19" x14ac:dyDescent="0.3">
      <c r="A775" s="1">
        <v>210</v>
      </c>
      <c r="B775" s="1" t="s">
        <v>1546</v>
      </c>
      <c r="C775" s="1" t="s">
        <v>1547</v>
      </c>
      <c r="D775" s="1">
        <v>12.872999999999999</v>
      </c>
      <c r="E775" s="1" t="s">
        <v>1548</v>
      </c>
      <c r="F775" s="1" t="s">
        <v>1549</v>
      </c>
      <c r="G775" s="1">
        <v>586.36883</v>
      </c>
      <c r="H775" s="2">
        <v>17765368.591784</v>
      </c>
      <c r="I775" s="1" t="s">
        <v>17</v>
      </c>
      <c r="J775" s="1">
        <v>586.71623999999997</v>
      </c>
      <c r="K775" s="1">
        <v>585.36154999999997</v>
      </c>
      <c r="L775" s="7">
        <f>G775-J775</f>
        <v>-0.34740999999996802</v>
      </c>
      <c r="M775" s="1" t="s">
        <v>1550</v>
      </c>
      <c r="N775" s="2">
        <v>17765368.591784</v>
      </c>
      <c r="O775" s="1">
        <v>17488345.2781929</v>
      </c>
      <c r="P775" s="1">
        <v>8328084.3573522698</v>
      </c>
      <c r="Q775" s="1">
        <f>STDEV(N775:P775)</f>
        <v>5370435.3606203161</v>
      </c>
      <c r="R775" s="1">
        <v>14527266.075776391</v>
      </c>
      <c r="S775" s="1">
        <v>1.7815044933409765E-2</v>
      </c>
    </row>
    <row r="776" spans="1:19" x14ac:dyDescent="0.3">
      <c r="A776" s="1">
        <v>778</v>
      </c>
      <c r="B776" s="1" t="s">
        <v>297</v>
      </c>
      <c r="C776" s="1" t="s">
        <v>298</v>
      </c>
      <c r="D776" s="1">
        <v>0.127</v>
      </c>
      <c r="E776" s="1" t="s">
        <v>299</v>
      </c>
      <c r="F776" s="1" t="s">
        <v>300</v>
      </c>
      <c r="G776" s="1">
        <v>440.31031999999999</v>
      </c>
      <c r="H776" s="2">
        <v>360207599.19057697</v>
      </c>
      <c r="I776" s="1" t="s">
        <v>23</v>
      </c>
      <c r="J776" s="1">
        <v>440.65786000000003</v>
      </c>
      <c r="K776" s="1">
        <v>441.31760000000003</v>
      </c>
      <c r="L776" s="7">
        <f>G776-J776</f>
        <v>-0.34754000000003771</v>
      </c>
      <c r="M776" s="1" t="s">
        <v>301</v>
      </c>
      <c r="N776" s="2">
        <v>814415.85369407304</v>
      </c>
      <c r="O776" s="1">
        <v>197522150.018363</v>
      </c>
      <c r="P776" s="1">
        <v>360207599.19057697</v>
      </c>
      <c r="Q776" s="1">
        <f>STDEV(N776:P776)</f>
        <v>179964787.42686555</v>
      </c>
      <c r="R776" s="1">
        <v>186181388.35421133</v>
      </c>
      <c r="S776" s="1">
        <v>0.22831755004649937</v>
      </c>
    </row>
    <row r="777" spans="1:19" x14ac:dyDescent="0.3">
      <c r="A777" s="1">
        <v>770</v>
      </c>
      <c r="B777" s="1" t="s">
        <v>2203</v>
      </c>
      <c r="C777" s="1" t="s">
        <v>2204</v>
      </c>
      <c r="D777" s="1">
        <v>9.9979999999999993</v>
      </c>
      <c r="E777" s="1" t="s">
        <v>2205</v>
      </c>
      <c r="F777" s="1" t="s">
        <v>2206</v>
      </c>
      <c r="G777" s="1">
        <v>470.33614999999998</v>
      </c>
      <c r="H777" s="2">
        <v>2450545551.5317502</v>
      </c>
      <c r="I777" s="1" t="s">
        <v>156</v>
      </c>
      <c r="J777" s="1">
        <v>470.68383999999998</v>
      </c>
      <c r="K777" s="1">
        <v>453.33282000000003</v>
      </c>
      <c r="L777" s="7">
        <f>G777-J777</f>
        <v>-0.34769000000000005</v>
      </c>
      <c r="M777" s="1" t="s">
        <v>2125</v>
      </c>
      <c r="N777" s="2">
        <v>4787285.1983963503</v>
      </c>
      <c r="O777" s="1">
        <v>5620748.2078013401</v>
      </c>
      <c r="P777" s="1">
        <v>6276987.5461534597</v>
      </c>
      <c r="Q777" s="1">
        <f>STDEV(N777:P777)</f>
        <v>746606.06995482603</v>
      </c>
      <c r="R777" s="1">
        <v>5561673.6507837167</v>
      </c>
      <c r="S777" s="1">
        <v>6.8203793801840835E-3</v>
      </c>
    </row>
    <row r="778" spans="1:19" x14ac:dyDescent="0.3">
      <c r="A778" s="1">
        <v>948</v>
      </c>
      <c r="B778" s="1" t="s">
        <v>3482</v>
      </c>
      <c r="C778" s="1" t="s">
        <v>3483</v>
      </c>
      <c r="D778" s="1">
        <v>13.997999999999999</v>
      </c>
      <c r="E778" s="1" t="s">
        <v>3484</v>
      </c>
      <c r="F778" s="1" t="s">
        <v>3485</v>
      </c>
      <c r="G778" s="1">
        <v>450.34611999999998</v>
      </c>
      <c r="H778" s="2">
        <v>29114818.457042102</v>
      </c>
      <c r="I778" s="1" t="s">
        <v>23</v>
      </c>
      <c r="J778" s="1">
        <v>450.69420000000002</v>
      </c>
      <c r="K778" s="1">
        <v>451.35338999999999</v>
      </c>
      <c r="L778" s="7">
        <f>G778-J778</f>
        <v>-0.34808000000003858</v>
      </c>
      <c r="M778" s="1" t="s">
        <v>3486</v>
      </c>
      <c r="N778" s="2">
        <v>1123870.77625729</v>
      </c>
      <c r="O778" s="1">
        <v>1161936.58981791</v>
      </c>
      <c r="P778" s="1">
        <v>912314.16949717596</v>
      </c>
      <c r="Q778" s="1">
        <f>STDEV(N778:P778)</f>
        <v>134484.5448076138</v>
      </c>
      <c r="R778" s="1">
        <v>1066040.5118574586</v>
      </c>
      <c r="S778" s="1">
        <v>1.3073044522288611E-3</v>
      </c>
    </row>
    <row r="779" spans="1:19" x14ac:dyDescent="0.3">
      <c r="A779" s="1">
        <v>281</v>
      </c>
      <c r="B779" s="1" t="s">
        <v>3291</v>
      </c>
      <c r="C779" s="1" t="s">
        <v>3292</v>
      </c>
      <c r="D779" s="1">
        <v>6.7779999999999996</v>
      </c>
      <c r="E779" s="1" t="s">
        <v>3293</v>
      </c>
      <c r="F779" s="1" t="s">
        <v>3294</v>
      </c>
      <c r="G779" s="1">
        <v>278.04072000000002</v>
      </c>
      <c r="H779" s="2">
        <v>144706510.94806901</v>
      </c>
      <c r="I779" s="1" t="s">
        <v>17</v>
      </c>
      <c r="J779" s="1">
        <v>278.38983999999999</v>
      </c>
      <c r="K779" s="1">
        <v>277.03345000000002</v>
      </c>
      <c r="L779" s="7">
        <f>G779-J779</f>
        <v>-0.34911999999997079</v>
      </c>
      <c r="M779" s="1" t="s">
        <v>3295</v>
      </c>
      <c r="N779" s="2">
        <v>2410737.6205829</v>
      </c>
      <c r="O779" s="1">
        <v>783502.23229881702</v>
      </c>
      <c r="P779" s="1">
        <v>806866.84347781702</v>
      </c>
      <c r="Q779" s="1">
        <f>STDEV(N779:P779)</f>
        <v>932813.16310674453</v>
      </c>
      <c r="R779" s="1">
        <v>1333702.2321198445</v>
      </c>
      <c r="S779" s="1">
        <v>1.6355427834162603E-3</v>
      </c>
    </row>
    <row r="780" spans="1:19" x14ac:dyDescent="0.3">
      <c r="A780" s="1">
        <v>967</v>
      </c>
      <c r="B780" s="1" t="s">
        <v>2107</v>
      </c>
      <c r="C780" s="1" t="s">
        <v>2108</v>
      </c>
      <c r="D780" s="1">
        <v>2.2719999999999998</v>
      </c>
      <c r="E780" s="1" t="s">
        <v>2109</v>
      </c>
      <c r="F780" s="1" t="s">
        <v>2110</v>
      </c>
      <c r="G780" s="1">
        <v>348.08247</v>
      </c>
      <c r="H780" s="2">
        <v>20318999.945083302</v>
      </c>
      <c r="I780" s="1" t="s">
        <v>17</v>
      </c>
      <c r="J780" s="1">
        <v>348.43331999999998</v>
      </c>
      <c r="K780" s="1">
        <v>347.0752</v>
      </c>
      <c r="L780" s="7">
        <f>G780-J780</f>
        <v>-0.3508499999999799</v>
      </c>
      <c r="M780" s="1" t="s">
        <v>2111</v>
      </c>
      <c r="N780" s="2">
        <v>365018.00080878998</v>
      </c>
      <c r="O780" s="1">
        <v>440922.849117707</v>
      </c>
      <c r="P780" s="1">
        <v>18341902.726968098</v>
      </c>
      <c r="Q780" s="1">
        <f>STDEV(N780:P780)</f>
        <v>10357116.929844433</v>
      </c>
      <c r="R780" s="1">
        <v>6382614.5256315321</v>
      </c>
      <c r="S780" s="1">
        <v>7.8271137854603306E-3</v>
      </c>
    </row>
    <row r="781" spans="1:19" x14ac:dyDescent="0.3">
      <c r="A781" s="1">
        <v>946</v>
      </c>
      <c r="B781" s="1" t="s">
        <v>3141</v>
      </c>
      <c r="C781" s="1" t="s">
        <v>3142</v>
      </c>
      <c r="D781" s="1">
        <v>15.89</v>
      </c>
      <c r="E781" s="1" t="s">
        <v>3143</v>
      </c>
      <c r="F781" s="1" t="s">
        <v>3144</v>
      </c>
      <c r="G781" s="1">
        <v>446.31121000000002</v>
      </c>
      <c r="H781" s="2">
        <v>2798066.5101052299</v>
      </c>
      <c r="I781" s="1" t="s">
        <v>23</v>
      </c>
      <c r="J781" s="1">
        <v>446.66244</v>
      </c>
      <c r="K781" s="1">
        <v>447.31849</v>
      </c>
      <c r="L781" s="7">
        <f>G781-J781</f>
        <v>-0.35122999999998683</v>
      </c>
      <c r="M781" s="1" t="s">
        <v>24</v>
      </c>
      <c r="N781" s="2">
        <v>1040702.7975503</v>
      </c>
      <c r="O781" s="1">
        <v>1093313.1208404801</v>
      </c>
      <c r="P781" s="1">
        <v>2798066.5101052299</v>
      </c>
      <c r="Q781" s="1">
        <f>STDEV(N781:P781)</f>
        <v>999773.23950077035</v>
      </c>
      <c r="R781" s="1">
        <v>1644027.4761653368</v>
      </c>
      <c r="S781" s="1">
        <v>2.0161001531102231E-3</v>
      </c>
    </row>
    <row r="782" spans="1:19" x14ac:dyDescent="0.3">
      <c r="A782" s="1">
        <v>870</v>
      </c>
      <c r="B782" s="1" t="s">
        <v>2388</v>
      </c>
      <c r="C782" s="1" t="s">
        <v>2389</v>
      </c>
      <c r="D782" s="1">
        <v>11.124000000000001</v>
      </c>
      <c r="E782" s="1" t="s">
        <v>2390</v>
      </c>
      <c r="F782" s="1" t="s">
        <v>2391</v>
      </c>
      <c r="G782" s="1">
        <v>488.34730999999999</v>
      </c>
      <c r="H782" s="2">
        <v>87946613.219922602</v>
      </c>
      <c r="I782" s="1" t="s">
        <v>17</v>
      </c>
      <c r="J782" s="1">
        <v>488.69911999999999</v>
      </c>
      <c r="K782" s="1">
        <v>487.34005999999999</v>
      </c>
      <c r="L782" s="7">
        <f>G782-J782</f>
        <v>-0.3518100000000004</v>
      </c>
      <c r="M782" s="1" t="s">
        <v>2392</v>
      </c>
      <c r="N782" s="2">
        <v>5385865.6012067897</v>
      </c>
      <c r="O782" s="1">
        <v>4474216.6219603904</v>
      </c>
      <c r="P782" s="1">
        <v>2715650.24284484</v>
      </c>
      <c r="Q782" s="1">
        <f>STDEV(N782:P782)</f>
        <v>1357307.9748254477</v>
      </c>
      <c r="R782" s="1">
        <v>4191910.8220040072</v>
      </c>
      <c r="S782" s="1">
        <v>5.1406148453061176E-3</v>
      </c>
    </row>
    <row r="783" spans="1:19" x14ac:dyDescent="0.3">
      <c r="A783" s="1">
        <v>795</v>
      </c>
      <c r="B783" s="1" t="s">
        <v>2421</v>
      </c>
      <c r="C783" s="1" t="s">
        <v>2422</v>
      </c>
      <c r="D783" s="1">
        <v>9.8970000000000002</v>
      </c>
      <c r="E783" s="1" t="s">
        <v>2423</v>
      </c>
      <c r="F783" s="1" t="s">
        <v>2424</v>
      </c>
      <c r="G783" s="1">
        <v>480.28124000000003</v>
      </c>
      <c r="H783" s="2">
        <v>7769666.8890923001</v>
      </c>
      <c r="I783" s="1" t="s">
        <v>23</v>
      </c>
      <c r="J783" s="1">
        <v>480.63405999999998</v>
      </c>
      <c r="K783" s="1">
        <v>481.28850999999997</v>
      </c>
      <c r="L783" s="7">
        <f>G783-J783</f>
        <v>-0.35281999999995151</v>
      </c>
      <c r="M783" s="1" t="s">
        <v>2425</v>
      </c>
      <c r="N783" s="2">
        <v>7769666.8890923001</v>
      </c>
      <c r="O783" s="1">
        <v>2606781.3269684198</v>
      </c>
      <c r="P783" s="1">
        <v>1728778.37784576</v>
      </c>
      <c r="Q783" s="1">
        <f>STDEV(N783:P783)</f>
        <v>3263908.9680822319</v>
      </c>
      <c r="R783" s="1">
        <v>4035075.5313021601</v>
      </c>
      <c r="S783" s="1">
        <v>4.9482849370891327E-3</v>
      </c>
    </row>
    <row r="784" spans="1:19" x14ac:dyDescent="0.3">
      <c r="A784" s="1">
        <v>715</v>
      </c>
      <c r="B784" s="1" t="s">
        <v>2951</v>
      </c>
      <c r="C784" s="1" t="s">
        <v>2952</v>
      </c>
      <c r="D784" s="1">
        <v>14.157</v>
      </c>
      <c r="E784" s="1" t="s">
        <v>2953</v>
      </c>
      <c r="F784" s="1" t="s">
        <v>2954</v>
      </c>
      <c r="G784" s="1">
        <v>562.38112999999998</v>
      </c>
      <c r="H784" s="2">
        <v>34293494.555082902</v>
      </c>
      <c r="I784" s="1" t="s">
        <v>23</v>
      </c>
      <c r="J784" s="1">
        <v>562.7346</v>
      </c>
      <c r="K784" s="1">
        <v>563.38841000000002</v>
      </c>
      <c r="L784" s="7">
        <f>G784-J784</f>
        <v>-0.35347000000001572</v>
      </c>
      <c r="M784" s="1" t="s">
        <v>2955</v>
      </c>
      <c r="N784" s="2">
        <v>2471316.28515846</v>
      </c>
      <c r="O784" s="1">
        <v>3038657.0480061499</v>
      </c>
      <c r="P784" s="1">
        <v>671536.22386169899</v>
      </c>
      <c r="Q784" s="1">
        <f>STDEV(N784:P784)</f>
        <v>1235876.5314766325</v>
      </c>
      <c r="R784" s="1">
        <v>2060503.1856754364</v>
      </c>
      <c r="S784" s="1">
        <v>2.5268317277846826E-3</v>
      </c>
    </row>
    <row r="785" spans="1:19" x14ac:dyDescent="0.3">
      <c r="A785" s="1">
        <v>440</v>
      </c>
      <c r="B785" s="1" t="s">
        <v>3739</v>
      </c>
      <c r="C785" s="1" t="s">
        <v>3740</v>
      </c>
      <c r="D785" s="1">
        <v>2.8620000000000001</v>
      </c>
      <c r="E785" s="1" t="s">
        <v>3741</v>
      </c>
      <c r="F785" s="1" t="s">
        <v>3742</v>
      </c>
      <c r="G785" s="1">
        <v>304.92899999999997</v>
      </c>
      <c r="H785" s="2">
        <v>6414067.83762947</v>
      </c>
      <c r="I785" s="1" t="s">
        <v>17</v>
      </c>
      <c r="J785" s="1">
        <v>305.28424000000001</v>
      </c>
      <c r="K785" s="1">
        <v>303.92171999999999</v>
      </c>
      <c r="L785" s="7">
        <f>G785-J785</f>
        <v>-0.35524000000003753</v>
      </c>
      <c r="M785" s="1" t="s">
        <v>3743</v>
      </c>
      <c r="N785" s="2">
        <v>616815.04617126402</v>
      </c>
      <c r="O785" s="1">
        <v>904954.28833616595</v>
      </c>
      <c r="P785" s="1">
        <v>919048.58514589304</v>
      </c>
      <c r="Q785" s="1">
        <f>STDEV(N785:P785)</f>
        <v>170571.58036000284</v>
      </c>
      <c r="R785" s="1">
        <v>813605.9732177743</v>
      </c>
      <c r="S785" s="1">
        <v>9.9773948486660421E-4</v>
      </c>
    </row>
    <row r="786" spans="1:19" x14ac:dyDescent="0.3">
      <c r="A786" s="1">
        <v>391</v>
      </c>
      <c r="B786" s="1" t="s">
        <v>2884</v>
      </c>
      <c r="C786" s="1" t="s">
        <v>2885</v>
      </c>
      <c r="D786" s="1">
        <v>4.2539999999999996</v>
      </c>
      <c r="E786" s="1" t="s">
        <v>2886</v>
      </c>
      <c r="F786" s="1" t="s">
        <v>2887</v>
      </c>
      <c r="G786" s="1">
        <v>273.05916000000002</v>
      </c>
      <c r="H786" s="2">
        <v>55028917.097303301</v>
      </c>
      <c r="I786" s="1" t="s">
        <v>23</v>
      </c>
      <c r="J786" s="1">
        <v>273.41476</v>
      </c>
      <c r="K786" s="1">
        <v>274.06644</v>
      </c>
      <c r="L786" s="7">
        <f>G786-J786</f>
        <v>-0.35559999999998126</v>
      </c>
      <c r="M786" s="1" t="s">
        <v>2888</v>
      </c>
      <c r="N786" s="2">
        <v>1695058.82590218</v>
      </c>
      <c r="O786" s="1">
        <v>2316013.61992853</v>
      </c>
      <c r="P786" s="1">
        <v>2543488.4225822398</v>
      </c>
      <c r="Q786" s="1">
        <f>STDEV(N786:P786)</f>
        <v>439158.74551793758</v>
      </c>
      <c r="R786" s="1">
        <v>2184853.6228043167</v>
      </c>
      <c r="S786" s="1">
        <v>2.6793248819256452E-3</v>
      </c>
    </row>
    <row r="787" spans="1:19" x14ac:dyDescent="0.3">
      <c r="A787" s="1">
        <v>160</v>
      </c>
      <c r="B787" s="1" t="s">
        <v>2059</v>
      </c>
      <c r="C787" s="1" t="s">
        <v>2060</v>
      </c>
      <c r="D787" s="1">
        <v>11.199</v>
      </c>
      <c r="E787" s="1" t="s">
        <v>2061</v>
      </c>
      <c r="F787" s="1" t="s">
        <v>2062</v>
      </c>
      <c r="G787" s="1">
        <v>582.33289000000002</v>
      </c>
      <c r="H787" s="2">
        <v>77115138.987206399</v>
      </c>
      <c r="I787" s="1" t="s">
        <v>23</v>
      </c>
      <c r="J787" s="1">
        <v>582.68931999999995</v>
      </c>
      <c r="K787" s="1">
        <v>583.34015999999997</v>
      </c>
      <c r="L787" s="7">
        <f>G787-J787</f>
        <v>-0.35642999999993208</v>
      </c>
      <c r="M787" s="1" t="s">
        <v>2063</v>
      </c>
      <c r="N787" s="2">
        <v>16278605.583021101</v>
      </c>
      <c r="O787" s="1">
        <v>3343678.8924941798</v>
      </c>
      <c r="P787" s="1">
        <v>1318517.1517479999</v>
      </c>
      <c r="Q787" s="1">
        <f>STDEV(N787:P787)</f>
        <v>8116011.4838611763</v>
      </c>
      <c r="R787" s="1">
        <v>6980267.2090877602</v>
      </c>
      <c r="S787" s="1">
        <v>8.560025907728086E-3</v>
      </c>
    </row>
    <row r="788" spans="1:19" x14ac:dyDescent="0.3">
      <c r="A788" s="1">
        <v>320</v>
      </c>
      <c r="B788" s="1" t="s">
        <v>3189</v>
      </c>
      <c r="C788" s="1" t="s">
        <v>3190</v>
      </c>
      <c r="D788" s="1">
        <v>7.2990000000000004</v>
      </c>
      <c r="E788" s="1" t="s">
        <v>3191</v>
      </c>
      <c r="F788" s="1" t="s">
        <v>3192</v>
      </c>
      <c r="G788" s="1">
        <v>883.48607000000004</v>
      </c>
      <c r="H788" s="2">
        <v>70180676.143612504</v>
      </c>
      <c r="I788" s="1" t="s">
        <v>23</v>
      </c>
      <c r="J788" s="1">
        <v>883.84446000000003</v>
      </c>
      <c r="K788" s="1">
        <v>884.49334999999996</v>
      </c>
      <c r="L788" s="7">
        <f>G788-J788</f>
        <v>-0.35838999999998578</v>
      </c>
      <c r="M788" s="1" t="s">
        <v>3193</v>
      </c>
      <c r="N788" s="2">
        <v>1237879.75776795</v>
      </c>
      <c r="O788" s="1">
        <v>1603277.5766318101</v>
      </c>
      <c r="P788" s="1">
        <v>1841421.8376249899</v>
      </c>
      <c r="Q788" s="1">
        <f>STDEV(N788:P788)</f>
        <v>303998.71086147305</v>
      </c>
      <c r="R788" s="1">
        <v>1560859.7240082498</v>
      </c>
      <c r="S788" s="1">
        <v>1.914110058486723E-3</v>
      </c>
    </row>
    <row r="789" spans="1:19" x14ac:dyDescent="0.3">
      <c r="A789" s="1">
        <v>484</v>
      </c>
      <c r="B789" s="1" t="s">
        <v>1402</v>
      </c>
      <c r="C789" s="1" t="s">
        <v>1403</v>
      </c>
      <c r="D789" s="1">
        <v>1.5169999999999999</v>
      </c>
      <c r="E789" s="1" t="s">
        <v>1404</v>
      </c>
      <c r="F789" s="1" t="s">
        <v>1405</v>
      </c>
      <c r="G789" s="1">
        <v>436.04861</v>
      </c>
      <c r="H789" s="2">
        <v>118896735.674923</v>
      </c>
      <c r="I789" s="1" t="s">
        <v>17</v>
      </c>
      <c r="J789" s="1">
        <v>436.40926000000002</v>
      </c>
      <c r="K789" s="1">
        <v>435.04133999999999</v>
      </c>
      <c r="L789" s="7">
        <f>G789-J789</f>
        <v>-0.36065000000002101</v>
      </c>
      <c r="M789" s="1" t="s">
        <v>1406</v>
      </c>
      <c r="N789" s="2">
        <v>28976781.897239901</v>
      </c>
      <c r="O789" s="1">
        <v>8165948.9294972401</v>
      </c>
      <c r="P789" s="1">
        <v>17893753.243063599</v>
      </c>
      <c r="Q789" s="1">
        <f>STDEV(N789:P789)</f>
        <v>10412768.361676751</v>
      </c>
      <c r="R789" s="1">
        <v>18345494.689933579</v>
      </c>
      <c r="S789" s="1">
        <v>2.2497406636735686E-2</v>
      </c>
    </row>
    <row r="790" spans="1:19" x14ac:dyDescent="0.3">
      <c r="A790" s="1">
        <v>174</v>
      </c>
      <c r="B790" s="1" t="s">
        <v>2835</v>
      </c>
      <c r="C790" s="1" t="s">
        <v>2836</v>
      </c>
      <c r="D790" s="1">
        <v>9.4710000000000001</v>
      </c>
      <c r="E790" s="1" t="s">
        <v>2837</v>
      </c>
      <c r="F790" s="1" t="s">
        <v>2838</v>
      </c>
      <c r="G790" s="1">
        <v>518.28547000000003</v>
      </c>
      <c r="H790" s="2">
        <v>3525580.41654445</v>
      </c>
      <c r="I790" s="1" t="s">
        <v>17</v>
      </c>
      <c r="J790" s="1">
        <v>518.64711999999997</v>
      </c>
      <c r="K790" s="1">
        <v>517.27819999999997</v>
      </c>
      <c r="L790" s="7">
        <f>G790-J790</f>
        <v>-0.36164999999994052</v>
      </c>
      <c r="M790" s="1" t="s">
        <v>2839</v>
      </c>
      <c r="N790" s="2">
        <v>3525580.41654445</v>
      </c>
      <c r="O790" s="1">
        <v>1983412.25703439</v>
      </c>
      <c r="P790" s="1">
        <v>1494285.7167475999</v>
      </c>
      <c r="Q790" s="1">
        <f>STDEV(N790:P790)</f>
        <v>1060163.946601527</v>
      </c>
      <c r="R790" s="1">
        <v>2334426.1301088133</v>
      </c>
      <c r="S790" s="1">
        <v>2.8627483096052377E-3</v>
      </c>
    </row>
    <row r="791" spans="1:19" x14ac:dyDescent="0.3">
      <c r="A791" s="1">
        <v>217</v>
      </c>
      <c r="B791" s="1" t="s">
        <v>1494</v>
      </c>
      <c r="C791" s="1" t="s">
        <v>1495</v>
      </c>
      <c r="D791" s="1">
        <v>7.7450000000000001</v>
      </c>
      <c r="E791" s="1" t="s">
        <v>1496</v>
      </c>
      <c r="F791" s="1" t="s">
        <v>1497</v>
      </c>
      <c r="G791" s="1">
        <v>407.18146999999999</v>
      </c>
      <c r="H791" s="2">
        <v>17761185.000213102</v>
      </c>
      <c r="I791" s="1" t="s">
        <v>23</v>
      </c>
      <c r="J791" s="1">
        <v>407.54358000000002</v>
      </c>
      <c r="K791" s="1">
        <v>408.18875000000003</v>
      </c>
      <c r="L791" s="7">
        <f>G791-J791</f>
        <v>-0.36211000000002969</v>
      </c>
      <c r="M791" s="1" t="s">
        <v>24</v>
      </c>
      <c r="N791" s="2">
        <v>17761185.000213102</v>
      </c>
      <c r="O791" s="1">
        <v>16866962.294959702</v>
      </c>
      <c r="P791" s="1">
        <v>10813688.585730201</v>
      </c>
      <c r="Q791" s="1">
        <f>STDEV(N791:P791)</f>
        <v>3779538.4037977522</v>
      </c>
      <c r="R791" s="1">
        <v>15147278.626967669</v>
      </c>
      <c r="S791" s="1">
        <v>1.8575377359424088E-2</v>
      </c>
    </row>
    <row r="792" spans="1:19" x14ac:dyDescent="0.3">
      <c r="A792" s="1">
        <v>760</v>
      </c>
      <c r="B792" s="1" t="s">
        <v>2931</v>
      </c>
      <c r="C792" s="1" t="s">
        <v>2932</v>
      </c>
      <c r="D792" s="1">
        <v>18.984999999999999</v>
      </c>
      <c r="E792" s="1" t="s">
        <v>2933</v>
      </c>
      <c r="F792" s="1" t="s">
        <v>2934</v>
      </c>
      <c r="G792" s="1">
        <v>646.44584999999995</v>
      </c>
      <c r="H792" s="2">
        <v>131658732.480563</v>
      </c>
      <c r="I792" s="1" t="s">
        <v>23</v>
      </c>
      <c r="J792" s="1">
        <v>646.80795999999998</v>
      </c>
      <c r="K792" s="1">
        <v>647.45312999999999</v>
      </c>
      <c r="L792" s="7">
        <f>G792-J792</f>
        <v>-0.36211000000002969</v>
      </c>
      <c r="M792" s="1" t="s">
        <v>2935</v>
      </c>
      <c r="N792" s="2">
        <v>2643534.0632167901</v>
      </c>
      <c r="O792" s="1">
        <v>1839923.3478536101</v>
      </c>
      <c r="P792" s="1">
        <v>1815969.0776141</v>
      </c>
      <c r="Q792" s="1">
        <f>STDEV(N792:P792)</f>
        <v>471032.16349927074</v>
      </c>
      <c r="R792" s="1">
        <v>2099808.8295614999</v>
      </c>
      <c r="S792" s="1">
        <v>2.5750329384126363E-3</v>
      </c>
    </row>
    <row r="793" spans="1:19" x14ac:dyDescent="0.3">
      <c r="A793" s="1">
        <v>479</v>
      </c>
      <c r="B793" s="1" t="s">
        <v>2758</v>
      </c>
      <c r="C793" s="1" t="s">
        <v>2759</v>
      </c>
      <c r="D793" s="1">
        <v>5.3550000000000004</v>
      </c>
      <c r="E793" s="1" t="s">
        <v>2760</v>
      </c>
      <c r="F793" s="1" t="s">
        <v>2761</v>
      </c>
      <c r="G793" s="1">
        <v>596.17079999999999</v>
      </c>
      <c r="H793" s="2">
        <v>15434484.239731601</v>
      </c>
      <c r="I793" s="1" t="s">
        <v>17</v>
      </c>
      <c r="J793" s="1">
        <v>596.53398000000004</v>
      </c>
      <c r="K793" s="1">
        <v>595.16351999999995</v>
      </c>
      <c r="L793" s="7">
        <f>G793-J793</f>
        <v>-0.36318000000005668</v>
      </c>
      <c r="M793" s="1" t="s">
        <v>2762</v>
      </c>
      <c r="N793" s="2">
        <v>2469344.0370168998</v>
      </c>
      <c r="O793" s="1">
        <v>2780805.7090383102</v>
      </c>
      <c r="P793" s="1">
        <v>2447031.3355604601</v>
      </c>
      <c r="Q793" s="1">
        <f>STDEV(N793:P793)</f>
        <v>186597.4107426593</v>
      </c>
      <c r="R793" s="1">
        <v>2565727.0272052232</v>
      </c>
      <c r="S793" s="1">
        <v>3.1463967162232952E-3</v>
      </c>
    </row>
    <row r="794" spans="1:19" x14ac:dyDescent="0.3">
      <c r="A794" s="1">
        <v>164</v>
      </c>
      <c r="B794" s="1" t="s">
        <v>509</v>
      </c>
      <c r="C794" s="1" t="s">
        <v>510</v>
      </c>
      <c r="D794" s="1">
        <v>7.8029999999999999</v>
      </c>
      <c r="E794" s="1" t="s">
        <v>511</v>
      </c>
      <c r="F794" s="1" t="s">
        <v>512</v>
      </c>
      <c r="G794" s="1">
        <v>500.31015000000002</v>
      </c>
      <c r="H794" s="2">
        <v>169583533.138726</v>
      </c>
      <c r="I794" s="1" t="s">
        <v>290</v>
      </c>
      <c r="J794" s="1">
        <v>500.67336</v>
      </c>
      <c r="K794" s="1">
        <v>251.16235</v>
      </c>
      <c r="L794" s="7">
        <f>G794-J794</f>
        <v>-0.36320999999998094</v>
      </c>
      <c r="M794" s="1" t="s">
        <v>513</v>
      </c>
      <c r="N794" s="2">
        <v>74233005.003192395</v>
      </c>
      <c r="O794" s="1">
        <v>108415644.76136599</v>
      </c>
      <c r="P794" s="1">
        <v>116667498.083979</v>
      </c>
      <c r="Q794" s="1">
        <f>STDEV(N794:P794)</f>
        <v>22499007.930418931</v>
      </c>
      <c r="R794" s="1">
        <v>99772049.282845795</v>
      </c>
      <c r="S794" s="1">
        <v>0.12235223969884355</v>
      </c>
    </row>
    <row r="795" spans="1:19" x14ac:dyDescent="0.3">
      <c r="A795" s="1">
        <v>180</v>
      </c>
      <c r="B795" s="1" t="s">
        <v>1713</v>
      </c>
      <c r="C795" s="1" t="s">
        <v>1714</v>
      </c>
      <c r="D795" s="1">
        <v>1.425</v>
      </c>
      <c r="E795" s="1" t="s">
        <v>1715</v>
      </c>
      <c r="F795" s="1" t="s">
        <v>1716</v>
      </c>
      <c r="G795" s="1">
        <v>379.08553000000001</v>
      </c>
      <c r="H795" s="2">
        <v>11153949.484332999</v>
      </c>
      <c r="I795" s="1" t="s">
        <v>23</v>
      </c>
      <c r="J795" s="1">
        <v>379.44889999999998</v>
      </c>
      <c r="K795" s="1">
        <v>380.09280000000001</v>
      </c>
      <c r="L795" s="7">
        <f>G795-J795</f>
        <v>-0.36336999999997488</v>
      </c>
      <c r="M795" s="1" t="s">
        <v>1717</v>
      </c>
      <c r="N795" s="2">
        <v>10697933.267716801</v>
      </c>
      <c r="O795" s="1">
        <v>10323824.901964899</v>
      </c>
      <c r="P795" s="1">
        <v>11153949.484332999</v>
      </c>
      <c r="Q795" s="1">
        <f>STDEV(N795:P795)</f>
        <v>415735.22851977206</v>
      </c>
      <c r="R795" s="1">
        <v>10725235.884671567</v>
      </c>
      <c r="S795" s="1">
        <v>1.3152547644559564E-2</v>
      </c>
    </row>
    <row r="796" spans="1:19" x14ac:dyDescent="0.3">
      <c r="A796" s="1">
        <v>792</v>
      </c>
      <c r="B796" s="1" t="s">
        <v>1435</v>
      </c>
      <c r="C796" s="1" t="s">
        <v>1436</v>
      </c>
      <c r="D796" s="1">
        <v>11.446999999999999</v>
      </c>
      <c r="E796" s="1" t="s">
        <v>1437</v>
      </c>
      <c r="F796" s="1" t="s">
        <v>1438</v>
      </c>
      <c r="G796" s="1">
        <v>464.27123</v>
      </c>
      <c r="H796" s="2">
        <v>52386469.857702903</v>
      </c>
      <c r="I796" s="1" t="s">
        <v>23</v>
      </c>
      <c r="J796" s="1">
        <v>464.63466</v>
      </c>
      <c r="K796" s="1">
        <v>465.27850000000001</v>
      </c>
      <c r="L796" s="7">
        <f>G796-J796</f>
        <v>-0.36342999999999392</v>
      </c>
      <c r="M796" s="1" t="s">
        <v>1439</v>
      </c>
      <c r="N796" s="2">
        <v>33615412.617244698</v>
      </c>
      <c r="O796" s="1">
        <v>17787309.669367701</v>
      </c>
      <c r="P796" s="1">
        <v>712624.62335217197</v>
      </c>
      <c r="Q796" s="1">
        <f>STDEV(N796:P796)</f>
        <v>16455329.279194308</v>
      </c>
      <c r="R796" s="1">
        <v>17371782.303321522</v>
      </c>
      <c r="S796" s="1">
        <v>2.1303325807677534E-2</v>
      </c>
    </row>
    <row r="797" spans="1:19" x14ac:dyDescent="0.3">
      <c r="A797" s="1">
        <v>793</v>
      </c>
      <c r="B797" s="1" t="s">
        <v>181</v>
      </c>
      <c r="C797" s="1" t="s">
        <v>182</v>
      </c>
      <c r="D797" s="1">
        <v>0.19900000000000001</v>
      </c>
      <c r="E797" s="1" t="s">
        <v>183</v>
      </c>
      <c r="F797" s="1" t="s">
        <v>184</v>
      </c>
      <c r="G797" s="1">
        <v>396.28467999999998</v>
      </c>
      <c r="H797" s="2">
        <v>688732332.07623994</v>
      </c>
      <c r="I797" s="1" t="s">
        <v>23</v>
      </c>
      <c r="J797" s="1">
        <v>396.64836000000003</v>
      </c>
      <c r="K797" s="1">
        <v>397.29199</v>
      </c>
      <c r="L797" s="7">
        <f>G797-J797</f>
        <v>-0.36368000000004486</v>
      </c>
      <c r="M797" s="1" t="s">
        <v>185</v>
      </c>
      <c r="N797" s="2">
        <v>3266742.6643785499</v>
      </c>
      <c r="O797" s="1">
        <v>387131962.10067302</v>
      </c>
      <c r="P797" s="1">
        <v>688732332.07623994</v>
      </c>
      <c r="Q797" s="1">
        <f>STDEV(N797:P797)</f>
        <v>343554547.85958517</v>
      </c>
      <c r="R797" s="1">
        <v>359710345.61376381</v>
      </c>
      <c r="S797" s="1">
        <v>0.44111919866374982</v>
      </c>
    </row>
    <row r="798" spans="1:19" x14ac:dyDescent="0.3">
      <c r="A798" s="1">
        <v>765</v>
      </c>
      <c r="B798" s="1" t="s">
        <v>961</v>
      </c>
      <c r="C798" s="1" t="s">
        <v>962</v>
      </c>
      <c r="D798" s="1">
        <v>13.606</v>
      </c>
      <c r="E798" s="1" t="s">
        <v>963</v>
      </c>
      <c r="F798" s="1" t="s">
        <v>964</v>
      </c>
      <c r="G798" s="1">
        <v>674.45432000000005</v>
      </c>
      <c r="H798" s="2">
        <v>493943009.43157202</v>
      </c>
      <c r="I798" s="1" t="s">
        <v>398</v>
      </c>
      <c r="J798" s="1">
        <v>674.81805999999995</v>
      </c>
      <c r="K798" s="1">
        <v>692.48797999999999</v>
      </c>
      <c r="L798" s="7">
        <f>G798-J798</f>
        <v>-0.36373999999989337</v>
      </c>
      <c r="M798" s="1" t="s">
        <v>965</v>
      </c>
      <c r="N798" s="2">
        <v>17164655.6537342</v>
      </c>
      <c r="O798" s="1">
        <v>68375796.047738701</v>
      </c>
      <c r="P798" s="1">
        <v>45920836.836562999</v>
      </c>
      <c r="Q798" s="1">
        <f>STDEV(N798:P798)</f>
        <v>25670099.499384105</v>
      </c>
      <c r="R798" s="1">
        <v>43820429.512678631</v>
      </c>
      <c r="S798" s="1">
        <v>5.3737772592422461E-2</v>
      </c>
    </row>
    <row r="799" spans="1:19" x14ac:dyDescent="0.3">
      <c r="A799" s="1">
        <v>939</v>
      </c>
      <c r="B799" s="1" t="s">
        <v>3645</v>
      </c>
      <c r="C799" s="1" t="s">
        <v>3646</v>
      </c>
      <c r="D799" s="1">
        <v>11.491</v>
      </c>
      <c r="E799" s="1"/>
      <c r="F799" s="1" t="s">
        <v>3647</v>
      </c>
      <c r="G799" s="1">
        <v>416.32555000000002</v>
      </c>
      <c r="H799" s="2">
        <v>71766941.931627199</v>
      </c>
      <c r="I799" s="1" t="s">
        <v>156</v>
      </c>
      <c r="J799" s="1">
        <v>416.69</v>
      </c>
      <c r="K799" s="1">
        <v>399.32233000000002</v>
      </c>
      <c r="L799" s="7">
        <f>G799-J799</f>
        <v>-0.36444999999997663</v>
      </c>
      <c r="M799" s="1" t="s">
        <v>3648</v>
      </c>
      <c r="N799" s="2">
        <v>1005943.97700101</v>
      </c>
      <c r="O799" s="1">
        <v>900107.41645562695</v>
      </c>
      <c r="P799" s="1">
        <v>752281.15273801098</v>
      </c>
      <c r="Q799" s="1">
        <f>STDEV(N799:P799)</f>
        <v>127409.32082980145</v>
      </c>
      <c r="R799" s="1">
        <v>886110.84873154934</v>
      </c>
      <c r="S799" s="1">
        <v>1.0866535040930437E-3</v>
      </c>
    </row>
    <row r="800" spans="1:19" x14ac:dyDescent="0.3">
      <c r="A800" s="1">
        <v>54</v>
      </c>
      <c r="B800" s="1" t="s">
        <v>4427</v>
      </c>
      <c r="C800" s="1" t="s">
        <v>4428</v>
      </c>
      <c r="D800" s="1">
        <v>9.2260000000000009</v>
      </c>
      <c r="E800" s="1" t="s">
        <v>4429</v>
      </c>
      <c r="F800" s="1" t="s">
        <v>4430</v>
      </c>
      <c r="G800" s="1">
        <v>408.08168000000001</v>
      </c>
      <c r="H800" s="2">
        <v>479687.39324386697</v>
      </c>
      <c r="I800" s="1" t="s">
        <v>17</v>
      </c>
      <c r="J800" s="1">
        <v>408.44706000000002</v>
      </c>
      <c r="K800" s="1">
        <v>407.07440000000003</v>
      </c>
      <c r="L800" s="7">
        <f>G800-J800</f>
        <v>-0.36538000000001603</v>
      </c>
      <c r="M800" s="1" t="s">
        <v>24</v>
      </c>
      <c r="N800" s="2">
        <v>242402.52555631701</v>
      </c>
      <c r="O800" s="1">
        <v>253168.68641906601</v>
      </c>
      <c r="P800" s="1">
        <v>186393.502839236</v>
      </c>
      <c r="Q800" s="1">
        <f>STDEV(N800:P800)</f>
        <v>35851.187771037548</v>
      </c>
      <c r="R800" s="1">
        <v>227321.57160487297</v>
      </c>
      <c r="S800" s="1">
        <v>2.7876848894692693E-4</v>
      </c>
    </row>
    <row r="801" spans="1:19" x14ac:dyDescent="0.3">
      <c r="A801" s="1">
        <v>882</v>
      </c>
      <c r="B801" s="1" t="s">
        <v>2536</v>
      </c>
      <c r="C801" s="1" t="s">
        <v>2537</v>
      </c>
      <c r="D801" s="1">
        <v>17.305</v>
      </c>
      <c r="E801" s="1" t="s">
        <v>2538</v>
      </c>
      <c r="F801" s="1" t="s">
        <v>2539</v>
      </c>
      <c r="G801" s="1">
        <v>410.35160999999999</v>
      </c>
      <c r="H801" s="2">
        <v>274866062.49979198</v>
      </c>
      <c r="I801" s="1" t="s">
        <v>23</v>
      </c>
      <c r="J801" s="1">
        <v>410.71800000000002</v>
      </c>
      <c r="K801" s="1">
        <v>411.35888999999997</v>
      </c>
      <c r="L801" s="7">
        <f>G801-J801</f>
        <v>-0.36639000000002397</v>
      </c>
      <c r="M801" s="1" t="s">
        <v>2540</v>
      </c>
      <c r="N801" s="2">
        <v>3027951.1706961901</v>
      </c>
      <c r="O801" s="1">
        <v>3361068.01651954</v>
      </c>
      <c r="P801" s="1">
        <v>3444002.8006736101</v>
      </c>
      <c r="Q801" s="1">
        <f>STDEV(N801:P801)</f>
        <v>220205.95291712999</v>
      </c>
      <c r="R801" s="1">
        <v>3277673.9959631134</v>
      </c>
      <c r="S801" s="1">
        <v>4.0194699546749323E-3</v>
      </c>
    </row>
    <row r="802" spans="1:19" x14ac:dyDescent="0.3">
      <c r="A802" s="1">
        <v>876</v>
      </c>
      <c r="B802" s="1" t="s">
        <v>3064</v>
      </c>
      <c r="C802" s="1" t="s">
        <v>3065</v>
      </c>
      <c r="D802" s="1">
        <v>15.847</v>
      </c>
      <c r="E802" s="1" t="s">
        <v>3066</v>
      </c>
      <c r="F802" s="1" t="s">
        <v>3067</v>
      </c>
      <c r="G802" s="1">
        <v>410.35151999999999</v>
      </c>
      <c r="H802" s="2">
        <v>526575187.93290699</v>
      </c>
      <c r="I802" s="1" t="s">
        <v>23</v>
      </c>
      <c r="J802" s="1">
        <v>410.71800000000002</v>
      </c>
      <c r="K802" s="1">
        <v>411.35879999999997</v>
      </c>
      <c r="L802" s="7">
        <f>G802-J802</f>
        <v>-0.36648000000002412</v>
      </c>
      <c r="M802" s="1" t="s">
        <v>2540</v>
      </c>
      <c r="N802" s="2">
        <v>1541992.42603182</v>
      </c>
      <c r="O802" s="1">
        <v>1992094.81962756</v>
      </c>
      <c r="P802" s="1">
        <v>1885238.3970316499</v>
      </c>
      <c r="Q802" s="1">
        <f>STDEV(N802:P802)</f>
        <v>235169.53330814579</v>
      </c>
      <c r="R802" s="1">
        <v>1806441.88089701</v>
      </c>
      <c r="S802" s="1">
        <v>2.2152718281546013E-3</v>
      </c>
    </row>
    <row r="803" spans="1:19" x14ac:dyDescent="0.3">
      <c r="A803" s="1">
        <v>98</v>
      </c>
      <c r="B803" s="1" t="s">
        <v>1489</v>
      </c>
      <c r="C803" s="1" t="s">
        <v>1490</v>
      </c>
      <c r="D803" s="1">
        <v>0.71499999999999997</v>
      </c>
      <c r="E803" s="1" t="s">
        <v>1491</v>
      </c>
      <c r="F803" s="1" t="s">
        <v>1492</v>
      </c>
      <c r="G803" s="1">
        <v>358.06477000000001</v>
      </c>
      <c r="H803" s="2">
        <v>18998524.485849898</v>
      </c>
      <c r="I803" s="1" t="s">
        <v>17</v>
      </c>
      <c r="J803" s="1">
        <v>358.43144000000001</v>
      </c>
      <c r="K803" s="1">
        <v>357.05756000000002</v>
      </c>
      <c r="L803" s="7">
        <f>G803-J803</f>
        <v>-0.36666999999999916</v>
      </c>
      <c r="M803" s="1" t="s">
        <v>1493</v>
      </c>
      <c r="N803" s="2">
        <v>12934903.9128321</v>
      </c>
      <c r="O803" s="1">
        <v>14117906.228589799</v>
      </c>
      <c r="P803" s="1">
        <v>18998524.485849898</v>
      </c>
      <c r="Q803" s="1">
        <f>STDEV(N803:P803)</f>
        <v>3214224.2067024801</v>
      </c>
      <c r="R803" s="1">
        <v>15350444.875757268</v>
      </c>
      <c r="S803" s="1">
        <v>1.8824523746105493E-2</v>
      </c>
    </row>
    <row r="804" spans="1:19" x14ac:dyDescent="0.3">
      <c r="A804" s="1">
        <v>424</v>
      </c>
      <c r="B804" s="1" t="s">
        <v>2748</v>
      </c>
      <c r="C804" s="1" t="s">
        <v>2749</v>
      </c>
      <c r="D804" s="1">
        <v>5.9029999999999996</v>
      </c>
      <c r="E804" s="1" t="s">
        <v>2750</v>
      </c>
      <c r="F804" s="1" t="s">
        <v>2751</v>
      </c>
      <c r="G804" s="1">
        <v>475.25554</v>
      </c>
      <c r="H804" s="2">
        <v>18298476.175838999</v>
      </c>
      <c r="I804" s="1" t="s">
        <v>17</v>
      </c>
      <c r="J804" s="1">
        <v>475.62238000000002</v>
      </c>
      <c r="K804" s="1">
        <v>474.24826000000002</v>
      </c>
      <c r="L804" s="7">
        <f>G804-J804</f>
        <v>-0.3668400000000247</v>
      </c>
      <c r="M804" s="1" t="s">
        <v>2752</v>
      </c>
      <c r="N804" s="2">
        <v>390946.21847562701</v>
      </c>
      <c r="O804" s="1">
        <v>2447634.9585593999</v>
      </c>
      <c r="P804" s="1">
        <v>4923073.9075963898</v>
      </c>
      <c r="Q804" s="1">
        <f>STDEV(N804:P804)</f>
        <v>2269285.7890568362</v>
      </c>
      <c r="R804" s="1">
        <v>2587218.3615438058</v>
      </c>
      <c r="S804" s="1">
        <v>3.1727519220083123E-3</v>
      </c>
    </row>
    <row r="805" spans="1:19" x14ac:dyDescent="0.3">
      <c r="A805" s="1">
        <v>494</v>
      </c>
      <c r="B805" s="1" t="s">
        <v>596</v>
      </c>
      <c r="C805" s="1" t="s">
        <v>597</v>
      </c>
      <c r="D805" s="1">
        <v>7.1790000000000003</v>
      </c>
      <c r="E805" s="1" t="s">
        <v>598</v>
      </c>
      <c r="F805" s="1" t="s">
        <v>599</v>
      </c>
      <c r="G805" s="1">
        <v>378.09311000000002</v>
      </c>
      <c r="H805" s="2">
        <v>85497102.042539403</v>
      </c>
      <c r="I805" s="1" t="s">
        <v>17</v>
      </c>
      <c r="J805" s="1">
        <v>378.46084000000002</v>
      </c>
      <c r="K805" s="1">
        <v>377.08582999999999</v>
      </c>
      <c r="L805" s="7">
        <f>G805-J805</f>
        <v>-0.36772999999999456</v>
      </c>
      <c r="M805" s="1" t="s">
        <v>600</v>
      </c>
      <c r="N805" s="2">
        <v>81980865.043731496</v>
      </c>
      <c r="O805" s="1">
        <v>85497102.042539403</v>
      </c>
      <c r="P805" s="1">
        <v>84663812.584999993</v>
      </c>
      <c r="Q805" s="1">
        <f>STDEV(N805:P805)</f>
        <v>1837412.1956813172</v>
      </c>
      <c r="R805" s="1">
        <v>84047259.890423641</v>
      </c>
      <c r="S805" s="1">
        <v>0.10306865060966702</v>
      </c>
    </row>
    <row r="806" spans="1:19" x14ac:dyDescent="0.3">
      <c r="A806" s="1">
        <v>786</v>
      </c>
      <c r="B806" s="1" t="s">
        <v>3359</v>
      </c>
      <c r="C806" s="1" t="s">
        <v>3360</v>
      </c>
      <c r="D806" s="1">
        <v>10.856999999999999</v>
      </c>
      <c r="E806" s="1" t="s">
        <v>3361</v>
      </c>
      <c r="F806" s="1" t="s">
        <v>3362</v>
      </c>
      <c r="G806" s="1">
        <v>480.26600000000002</v>
      </c>
      <c r="H806" s="2">
        <v>2151154.66297063</v>
      </c>
      <c r="I806" s="1" t="s">
        <v>23</v>
      </c>
      <c r="J806" s="1">
        <v>480.63405999999998</v>
      </c>
      <c r="K806" s="1">
        <v>481.27327000000002</v>
      </c>
      <c r="L806" s="7">
        <f>G806-J806</f>
        <v>-0.3680599999999572</v>
      </c>
      <c r="M806" s="1" t="s">
        <v>24</v>
      </c>
      <c r="N806" s="2">
        <v>1295257.47906432</v>
      </c>
      <c r="O806" s="1">
        <v>1874699.5254464799</v>
      </c>
      <c r="P806" s="1">
        <v>396120.99719750398</v>
      </c>
      <c r="Q806" s="1">
        <f>STDEV(N806:P806)</f>
        <v>745027.28835238959</v>
      </c>
      <c r="R806" s="1">
        <v>1188692.6672361013</v>
      </c>
      <c r="S806" s="1">
        <v>1.4577149732348446E-3</v>
      </c>
    </row>
    <row r="807" spans="1:19" x14ac:dyDescent="0.3">
      <c r="A807" s="1">
        <v>875</v>
      </c>
      <c r="B807" s="1" t="s">
        <v>3565</v>
      </c>
      <c r="C807" s="1" t="s">
        <v>3566</v>
      </c>
      <c r="D807" s="1">
        <v>14.888999999999999</v>
      </c>
      <c r="E807" s="1" t="s">
        <v>3567</v>
      </c>
      <c r="F807" s="1" t="s">
        <v>3568</v>
      </c>
      <c r="G807" s="1">
        <v>426.3467</v>
      </c>
      <c r="H807" s="2">
        <v>28483212.235265099</v>
      </c>
      <c r="I807" s="1" t="s">
        <v>23</v>
      </c>
      <c r="J807" s="1">
        <v>426.7174</v>
      </c>
      <c r="K807" s="1">
        <v>427.35397</v>
      </c>
      <c r="L807" s="7">
        <f>G807-J807</f>
        <v>-0.37069999999999936</v>
      </c>
      <c r="M807" s="1" t="s">
        <v>3569</v>
      </c>
      <c r="N807" s="2">
        <v>974189.00397746498</v>
      </c>
      <c r="O807" s="1">
        <v>1044935.05955436</v>
      </c>
      <c r="P807" s="1">
        <v>829381.60532496194</v>
      </c>
      <c r="Q807" s="1">
        <f>STDEV(N807:P807)</f>
        <v>109876.80883184529</v>
      </c>
      <c r="R807" s="1">
        <v>949501.88961892889</v>
      </c>
      <c r="S807" s="1">
        <v>1.1643910657163808E-3</v>
      </c>
    </row>
    <row r="808" spans="1:19" x14ac:dyDescent="0.3">
      <c r="A808" s="1">
        <v>869</v>
      </c>
      <c r="B808" s="1" t="s">
        <v>3918</v>
      </c>
      <c r="C808" s="1" t="s">
        <v>3919</v>
      </c>
      <c r="D808" s="1">
        <v>14.478999999999999</v>
      </c>
      <c r="E808" s="1" t="s">
        <v>3920</v>
      </c>
      <c r="F808" s="1" t="s">
        <v>3921</v>
      </c>
      <c r="G808" s="1">
        <v>426.34654</v>
      </c>
      <c r="H808" s="2">
        <v>43823541.325406097</v>
      </c>
      <c r="I808" s="1" t="s">
        <v>23</v>
      </c>
      <c r="J808" s="1">
        <v>426.7174</v>
      </c>
      <c r="K808" s="1">
        <v>427.35381999999998</v>
      </c>
      <c r="L808" s="7">
        <f>G808-J808</f>
        <v>-0.37085999999999331</v>
      </c>
      <c r="M808" s="1" t="s">
        <v>3922</v>
      </c>
      <c r="N808" s="2">
        <v>701393.37604608701</v>
      </c>
      <c r="O808" s="1">
        <v>684037.86515279301</v>
      </c>
      <c r="P808" s="1">
        <v>596547.49864612601</v>
      </c>
      <c r="Q808" s="1">
        <f>STDEV(N808:P808)</f>
        <v>56196.731811268495</v>
      </c>
      <c r="R808" s="1">
        <v>660659.57994833542</v>
      </c>
      <c r="S808" s="1">
        <v>8.1017860078247384E-4</v>
      </c>
    </row>
    <row r="809" spans="1:19" x14ac:dyDescent="0.3">
      <c r="A809" s="1">
        <v>165</v>
      </c>
      <c r="B809" s="1" t="s">
        <v>658</v>
      </c>
      <c r="C809" s="1" t="s">
        <v>659</v>
      </c>
      <c r="D809" s="1">
        <v>13.09</v>
      </c>
      <c r="E809" s="1" t="s">
        <v>660</v>
      </c>
      <c r="F809" s="1" t="s">
        <v>661</v>
      </c>
      <c r="G809" s="1">
        <v>674.45452999999998</v>
      </c>
      <c r="H809" s="2">
        <v>142610792.88726199</v>
      </c>
      <c r="I809" s="1" t="s">
        <v>23</v>
      </c>
      <c r="J809" s="1">
        <v>674.82950000000005</v>
      </c>
      <c r="K809" s="1">
        <v>675.46258</v>
      </c>
      <c r="L809" s="7">
        <f>G809-J809</f>
        <v>-0.37497000000007574</v>
      </c>
      <c r="M809" s="1" t="s">
        <v>662</v>
      </c>
      <c r="N809" s="2">
        <v>123123259.473147</v>
      </c>
      <c r="O809" s="1">
        <v>77345399.862319693</v>
      </c>
      <c r="P809" s="1">
        <v>21221726.948359899</v>
      </c>
      <c r="Q809" s="1">
        <f>STDEV(N809:P809)</f>
        <v>51038223.295229115</v>
      </c>
      <c r="R809" s="1">
        <v>73896795.427942201</v>
      </c>
      <c r="S809" s="1">
        <v>9.0620955389462188E-2</v>
      </c>
    </row>
    <row r="810" spans="1:19" x14ac:dyDescent="0.3">
      <c r="A810" s="1">
        <v>954</v>
      </c>
      <c r="B810" s="1" t="s">
        <v>825</v>
      </c>
      <c r="C810" s="1" t="s">
        <v>826</v>
      </c>
      <c r="D810" s="1">
        <v>13.218</v>
      </c>
      <c r="E810" s="1"/>
      <c r="F810" s="1" t="s">
        <v>827</v>
      </c>
      <c r="G810" s="1">
        <v>398.29390000000001</v>
      </c>
      <c r="H810" s="2">
        <v>244967095.57944801</v>
      </c>
      <c r="I810" s="1" t="s">
        <v>828</v>
      </c>
      <c r="J810" s="1">
        <v>398.67</v>
      </c>
      <c r="K810" s="1">
        <v>477.31518999999997</v>
      </c>
      <c r="L810" s="7">
        <f>G810-J810</f>
        <v>-0.37610000000000809</v>
      </c>
      <c r="M810" s="1" t="s">
        <v>829</v>
      </c>
      <c r="N810" s="2">
        <v>54048438.538243197</v>
      </c>
      <c r="O810" s="1">
        <v>58971740.829288401</v>
      </c>
      <c r="P810" s="1">
        <v>49066432.682609402</v>
      </c>
      <c r="Q810" s="1">
        <f>STDEV(N810:P810)</f>
        <v>4952683.0653570285</v>
      </c>
      <c r="R810" s="1">
        <v>54028870.683380336</v>
      </c>
      <c r="S810" s="1">
        <v>6.6256565681741E-2</v>
      </c>
    </row>
    <row r="811" spans="1:19" x14ac:dyDescent="0.3">
      <c r="A811" s="1">
        <v>837</v>
      </c>
      <c r="B811" s="1" t="s">
        <v>864</v>
      </c>
      <c r="C811" s="1" t="s">
        <v>865</v>
      </c>
      <c r="D811" s="1">
        <v>12.113</v>
      </c>
      <c r="E811" s="1" t="s">
        <v>866</v>
      </c>
      <c r="F811" s="1" t="s">
        <v>867</v>
      </c>
      <c r="G811" s="1">
        <v>414.24344000000002</v>
      </c>
      <c r="H811" s="2">
        <v>66040119.564839497</v>
      </c>
      <c r="I811" s="1" t="s">
        <v>23</v>
      </c>
      <c r="J811" s="1">
        <v>414.62058000000002</v>
      </c>
      <c r="K811" s="1">
        <v>415.25076000000001</v>
      </c>
      <c r="L811" s="7">
        <f>G811-J811</f>
        <v>-0.37713999999999714</v>
      </c>
      <c r="M811" s="1" t="s">
        <v>868</v>
      </c>
      <c r="N811" s="2">
        <v>66040119.564839497</v>
      </c>
      <c r="O811" s="1">
        <v>59561134.574486203</v>
      </c>
      <c r="P811" s="1">
        <v>25246557.125049699</v>
      </c>
      <c r="Q811" s="1">
        <f>STDEV(N811:P811)</f>
        <v>21922523.457879353</v>
      </c>
      <c r="R811" s="1">
        <v>50282603.754791804</v>
      </c>
      <c r="S811" s="1">
        <v>6.1662451874144562E-2</v>
      </c>
    </row>
    <row r="812" spans="1:19" x14ac:dyDescent="0.3">
      <c r="A812" s="1">
        <v>823</v>
      </c>
      <c r="B812" s="1" t="s">
        <v>244</v>
      </c>
      <c r="C812" s="1" t="s">
        <v>245</v>
      </c>
      <c r="D812" s="1">
        <v>12.606999999999999</v>
      </c>
      <c r="E812" s="1" t="s">
        <v>246</v>
      </c>
      <c r="F812" s="1" t="s">
        <v>247</v>
      </c>
      <c r="G812" s="1">
        <v>414.24342000000001</v>
      </c>
      <c r="H812" s="2">
        <v>343303832.97886902</v>
      </c>
      <c r="I812" s="1" t="s">
        <v>23</v>
      </c>
      <c r="J812" s="1">
        <v>414.62058000000002</v>
      </c>
      <c r="K812" s="1">
        <v>415.25069999999999</v>
      </c>
      <c r="L812" s="7">
        <f>G812-J812</f>
        <v>-0.37716000000000349</v>
      </c>
      <c r="M812" s="1" t="s">
        <v>248</v>
      </c>
      <c r="N812" s="2">
        <v>343303832.97886902</v>
      </c>
      <c r="O812" s="1">
        <v>291454837.19122899</v>
      </c>
      <c r="P812" s="1">
        <v>130295036.981654</v>
      </c>
      <c r="Q812" s="1">
        <f>STDEV(N812:P812)</f>
        <v>111080711.45189872</v>
      </c>
      <c r="R812" s="1">
        <v>255017902.38391736</v>
      </c>
      <c r="S812" s="1">
        <v>0.31273299229845558</v>
      </c>
    </row>
    <row r="813" spans="1:19" x14ac:dyDescent="0.3">
      <c r="A813" s="1">
        <v>433</v>
      </c>
      <c r="B813" s="1" t="s">
        <v>4114</v>
      </c>
      <c r="C813" s="1" t="s">
        <v>4115</v>
      </c>
      <c r="D813" s="1">
        <v>2.8889999999999998</v>
      </c>
      <c r="E813" s="1" t="s">
        <v>4116</v>
      </c>
      <c r="F813" s="1" t="s">
        <v>4117</v>
      </c>
      <c r="G813" s="1">
        <v>335.06000999999998</v>
      </c>
      <c r="H813" s="2">
        <v>2830224.7467444302</v>
      </c>
      <c r="I813" s="1" t="s">
        <v>17</v>
      </c>
      <c r="J813" s="1">
        <v>335.43786</v>
      </c>
      <c r="K813" s="1">
        <v>334.05273</v>
      </c>
      <c r="L813" s="7">
        <f>G813-J813</f>
        <v>-0.37785000000002356</v>
      </c>
      <c r="M813" s="1" t="s">
        <v>4118</v>
      </c>
      <c r="N813" s="2">
        <v>391264.88663522003</v>
      </c>
      <c r="O813" s="1">
        <v>539017.43065397802</v>
      </c>
      <c r="P813" s="1">
        <v>582980.98062206397</v>
      </c>
      <c r="Q813" s="1">
        <f>STDEV(N813:P813)</f>
        <v>100431.29383097602</v>
      </c>
      <c r="R813" s="1">
        <v>504421.09930375405</v>
      </c>
      <c r="S813" s="1">
        <v>6.1858057136026322E-4</v>
      </c>
    </row>
    <row r="814" spans="1:19" x14ac:dyDescent="0.3">
      <c r="A814" s="1">
        <v>634</v>
      </c>
      <c r="B814" s="1" t="s">
        <v>1740</v>
      </c>
      <c r="C814" s="1" t="s">
        <v>1741</v>
      </c>
      <c r="D814" s="1">
        <v>7.1520000000000001</v>
      </c>
      <c r="E814" s="1" t="s">
        <v>1742</v>
      </c>
      <c r="F814" s="1" t="s">
        <v>1743</v>
      </c>
      <c r="G814" s="1">
        <v>534.13127999999995</v>
      </c>
      <c r="H814" s="2">
        <v>309989016.06577897</v>
      </c>
      <c r="I814" s="1" t="s">
        <v>23</v>
      </c>
      <c r="J814" s="1">
        <v>534.50919999999996</v>
      </c>
      <c r="K814" s="1">
        <v>535.13842999999997</v>
      </c>
      <c r="L814" s="7">
        <f>G814-J814</f>
        <v>-0.37792000000001735</v>
      </c>
      <c r="M814" s="1" t="s">
        <v>1744</v>
      </c>
      <c r="N814" s="2">
        <v>19184251.769304302</v>
      </c>
      <c r="O814" s="1">
        <v>3425793.2195619498</v>
      </c>
      <c r="P814" s="1">
        <v>8673388.6825644393</v>
      </c>
      <c r="Q814" s="1">
        <f>STDEV(N814:P814)</f>
        <v>8024384.8864514492</v>
      </c>
      <c r="R814" s="1">
        <v>10427811.223810231</v>
      </c>
      <c r="S814" s="1">
        <v>1.2787810489618613E-2</v>
      </c>
    </row>
    <row r="815" spans="1:19" x14ac:dyDescent="0.3">
      <c r="A815" s="1">
        <v>441</v>
      </c>
      <c r="B815" s="1" t="s">
        <v>1551</v>
      </c>
      <c r="C815" s="1" t="s">
        <v>1552</v>
      </c>
      <c r="D815" s="1">
        <v>12.103999999999999</v>
      </c>
      <c r="E815" s="1" t="s">
        <v>1553</v>
      </c>
      <c r="F815" s="1" t="s">
        <v>1554</v>
      </c>
      <c r="G815" s="1">
        <v>594.31858</v>
      </c>
      <c r="H815" s="2">
        <v>25446942.7461216</v>
      </c>
      <c r="I815" s="1" t="s">
        <v>290</v>
      </c>
      <c r="J815" s="1">
        <v>594.69672000000003</v>
      </c>
      <c r="K815" s="1">
        <v>298.16656</v>
      </c>
      <c r="L815" s="7">
        <f>G815-J815</f>
        <v>-0.37814000000003034</v>
      </c>
      <c r="M815" s="1" t="s">
        <v>1555</v>
      </c>
      <c r="N815" s="2">
        <v>25446942.7461216</v>
      </c>
      <c r="O815" s="1">
        <v>14291673.7707028</v>
      </c>
      <c r="P815" s="1">
        <v>3202291.6619192399</v>
      </c>
      <c r="Q815" s="1">
        <f>STDEV(N815:P815)</f>
        <v>11122341.804722413</v>
      </c>
      <c r="R815" s="1">
        <v>14313636.059581215</v>
      </c>
      <c r="S815" s="1">
        <v>1.7553066642533123E-2</v>
      </c>
    </row>
    <row r="816" spans="1:19" x14ac:dyDescent="0.3">
      <c r="A816" s="1">
        <v>773</v>
      </c>
      <c r="B816" s="1" t="s">
        <v>3699</v>
      </c>
      <c r="C816" s="1" t="s">
        <v>3700</v>
      </c>
      <c r="D816" s="1">
        <v>16.087</v>
      </c>
      <c r="E816" s="1" t="s">
        <v>3701</v>
      </c>
      <c r="F816" s="1" t="s">
        <v>3702</v>
      </c>
      <c r="G816" s="1">
        <v>750.57731999999999</v>
      </c>
      <c r="H816" s="2">
        <v>4954955.5356326299</v>
      </c>
      <c r="I816" s="1" t="s">
        <v>23</v>
      </c>
      <c r="J816" s="1">
        <v>750.95554000000004</v>
      </c>
      <c r="K816" s="1">
        <v>751.58459000000005</v>
      </c>
      <c r="L816" s="7">
        <f>G816-J816</f>
        <v>-0.37822000000005573</v>
      </c>
      <c r="M816" s="1" t="s">
        <v>3703</v>
      </c>
      <c r="N816" s="2">
        <v>756654.25083451904</v>
      </c>
      <c r="O816" s="1">
        <v>977519.07719520305</v>
      </c>
      <c r="P816" s="1">
        <v>839318.80041330995</v>
      </c>
      <c r="Q816" s="1">
        <f>STDEV(N816:P816)</f>
        <v>111590.035235373</v>
      </c>
      <c r="R816" s="1">
        <v>857830.70948101068</v>
      </c>
      <c r="S816" s="1">
        <v>1.0519730660227644E-3</v>
      </c>
    </row>
    <row r="817" spans="1:19" x14ac:dyDescent="0.3">
      <c r="A817" s="1">
        <v>250</v>
      </c>
      <c r="B817" s="1" t="s">
        <v>428</v>
      </c>
      <c r="C817" s="1" t="s">
        <v>429</v>
      </c>
      <c r="D817" s="1">
        <v>14.71</v>
      </c>
      <c r="E817" s="1" t="s">
        <v>430</v>
      </c>
      <c r="F817" s="1" t="s">
        <v>431</v>
      </c>
      <c r="G817" s="1">
        <v>682.42070000000001</v>
      </c>
      <c r="H817" s="2">
        <v>565953372.82906103</v>
      </c>
      <c r="I817" s="1" t="s">
        <v>23</v>
      </c>
      <c r="J817" s="1">
        <v>682.80029999999999</v>
      </c>
      <c r="K817" s="1">
        <v>683.42798000000005</v>
      </c>
      <c r="L817" s="7">
        <f>G817-J817</f>
        <v>-0.37959999999998217</v>
      </c>
      <c r="M817" s="1" t="s">
        <v>432</v>
      </c>
      <c r="N817" s="2">
        <v>144487482.29068899</v>
      </c>
      <c r="O817" s="1">
        <v>180464874.31824899</v>
      </c>
      <c r="P817" s="1">
        <v>38749094.404989697</v>
      </c>
      <c r="Q817" s="1">
        <f>STDEV(N817:P817)</f>
        <v>73664036.551308021</v>
      </c>
      <c r="R817" s="1">
        <v>121233817.00464256</v>
      </c>
      <c r="S817" s="1">
        <v>0.14867118741549293</v>
      </c>
    </row>
    <row r="818" spans="1:19" x14ac:dyDescent="0.3">
      <c r="A818" s="1">
        <v>59</v>
      </c>
      <c r="B818" s="1" t="s">
        <v>3068</v>
      </c>
      <c r="C818" s="1" t="s">
        <v>3069</v>
      </c>
      <c r="D818" s="1">
        <v>7.26</v>
      </c>
      <c r="E818" s="1" t="s">
        <v>3070</v>
      </c>
      <c r="F818" s="1" t="s">
        <v>3071</v>
      </c>
      <c r="G818" s="1">
        <v>480.30619999999999</v>
      </c>
      <c r="H818" s="2">
        <v>13855915.774328601</v>
      </c>
      <c r="I818" s="1" t="s">
        <v>23</v>
      </c>
      <c r="J818" s="1">
        <v>480.68680000000001</v>
      </c>
      <c r="K818" s="1">
        <v>481.31348000000003</v>
      </c>
      <c r="L818" s="7">
        <f>G818-J818</f>
        <v>-0.38060000000001537</v>
      </c>
      <c r="M818" s="1" t="s">
        <v>3072</v>
      </c>
      <c r="N818" s="2">
        <v>1378309.35958542</v>
      </c>
      <c r="O818" s="1">
        <v>1839533.5208251199</v>
      </c>
      <c r="P818" s="1">
        <v>2145992.8795751301</v>
      </c>
      <c r="Q818" s="1">
        <f>STDEV(N818:P818)</f>
        <v>386433.05852814909</v>
      </c>
      <c r="R818" s="1">
        <v>1787945.2533285569</v>
      </c>
      <c r="S818" s="1">
        <v>2.1925890845791948E-3</v>
      </c>
    </row>
    <row r="819" spans="1:19" x14ac:dyDescent="0.3">
      <c r="A819" s="1">
        <v>719</v>
      </c>
      <c r="B819" s="1" t="s">
        <v>576</v>
      </c>
      <c r="C819" s="1" t="s">
        <v>577</v>
      </c>
      <c r="D819" s="1">
        <v>0.58299999999999996</v>
      </c>
      <c r="E819" s="1" t="s">
        <v>578</v>
      </c>
      <c r="F819" s="1" t="s">
        <v>579</v>
      </c>
      <c r="G819" s="1">
        <v>272.08528000000001</v>
      </c>
      <c r="H819" s="2">
        <v>187314792.10852101</v>
      </c>
      <c r="I819" s="1" t="s">
        <v>23</v>
      </c>
      <c r="J819" s="1">
        <v>272.46807999999999</v>
      </c>
      <c r="K819" s="1">
        <v>273.09255999999999</v>
      </c>
      <c r="L819" s="7">
        <f>G819-J819</f>
        <v>-0.38279999999997472</v>
      </c>
      <c r="M819" s="1" t="s">
        <v>580</v>
      </c>
      <c r="N819" s="2">
        <v>32222686.544877</v>
      </c>
      <c r="O819" s="1">
        <v>40891412.323313199</v>
      </c>
      <c r="P819" s="1">
        <v>187314792.10852101</v>
      </c>
      <c r="Q819" s="1">
        <f>STDEV(N819:P819)</f>
        <v>87147876.396491945</v>
      </c>
      <c r="R819" s="1">
        <v>86809630.325570405</v>
      </c>
      <c r="S819" s="1">
        <v>0.10645619463675145</v>
      </c>
    </row>
    <row r="820" spans="1:19" x14ac:dyDescent="0.3">
      <c r="A820" s="1">
        <v>805</v>
      </c>
      <c r="B820" s="1" t="s">
        <v>3323</v>
      </c>
      <c r="C820" s="1" t="s">
        <v>3324</v>
      </c>
      <c r="D820" s="1">
        <v>6.3179999999999996</v>
      </c>
      <c r="E820" s="1" t="s">
        <v>3325</v>
      </c>
      <c r="F820" s="1" t="s">
        <v>3326</v>
      </c>
      <c r="G820" s="1">
        <v>480.25096000000002</v>
      </c>
      <c r="H820" s="2">
        <v>510867458.087744</v>
      </c>
      <c r="I820" s="1" t="s">
        <v>23</v>
      </c>
      <c r="J820" s="1">
        <v>480.63405999999998</v>
      </c>
      <c r="K820" s="1">
        <v>481.25824</v>
      </c>
      <c r="L820" s="7">
        <f>G820-J820</f>
        <v>-0.38309999999995625</v>
      </c>
      <c r="M820" s="1" t="s">
        <v>3327</v>
      </c>
      <c r="N820" s="2">
        <v>895525.83310780802</v>
      </c>
      <c r="O820" s="1">
        <v>1246355.52742838</v>
      </c>
      <c r="P820" s="1">
        <v>1630909.9446910799</v>
      </c>
      <c r="Q820" s="1">
        <f>STDEV(N820:P820)</f>
        <v>367820.91788949922</v>
      </c>
      <c r="R820" s="1">
        <v>1257597.1017424224</v>
      </c>
      <c r="S820" s="1">
        <v>1.5422137075760684E-3</v>
      </c>
    </row>
    <row r="821" spans="1:19" x14ac:dyDescent="0.3">
      <c r="A821" s="1">
        <v>881</v>
      </c>
      <c r="B821" s="1" t="s">
        <v>4417</v>
      </c>
      <c r="C821" s="1" t="s">
        <v>4418</v>
      </c>
      <c r="D821" s="1">
        <v>13.907999999999999</v>
      </c>
      <c r="E821" s="1" t="s">
        <v>4419</v>
      </c>
      <c r="F821" s="1" t="s">
        <v>4420</v>
      </c>
      <c r="G821" s="1">
        <v>474.33202999999997</v>
      </c>
      <c r="H821" s="2">
        <v>2503125.48078389</v>
      </c>
      <c r="I821" s="1" t="s">
        <v>139</v>
      </c>
      <c r="J821" s="1">
        <v>474.71559999999999</v>
      </c>
      <c r="K821" s="1">
        <v>519.32977000000005</v>
      </c>
      <c r="L821" s="7">
        <f>G821-J821</f>
        <v>-0.38357000000002017</v>
      </c>
      <c r="M821" s="1" t="s">
        <v>4421</v>
      </c>
      <c r="N821" s="2">
        <v>193466.53461944</v>
      </c>
      <c r="O821" s="1">
        <v>322954.88000994001</v>
      </c>
      <c r="P821" s="1">
        <v>198028.841535596</v>
      </c>
      <c r="Q821" s="1">
        <f>STDEV(N821:P821)</f>
        <v>73478.524442247901</v>
      </c>
      <c r="R821" s="1">
        <v>238150.0853883253</v>
      </c>
      <c r="S821" s="1">
        <v>2.9204768811681893E-4</v>
      </c>
    </row>
    <row r="822" spans="1:19" x14ac:dyDescent="0.3">
      <c r="A822" s="1">
        <v>358</v>
      </c>
      <c r="B822" s="1" t="s">
        <v>1808</v>
      </c>
      <c r="C822" s="1" t="s">
        <v>1809</v>
      </c>
      <c r="D822" s="1">
        <v>7.6020000000000003</v>
      </c>
      <c r="E822" s="1" t="s">
        <v>1810</v>
      </c>
      <c r="F822" s="1" t="s">
        <v>1811</v>
      </c>
      <c r="G822" s="1">
        <v>317.12403</v>
      </c>
      <c r="H822" s="2">
        <v>9877494.3356619403</v>
      </c>
      <c r="I822" s="1" t="s">
        <v>23</v>
      </c>
      <c r="J822" s="1">
        <v>317.50869999999998</v>
      </c>
      <c r="K822" s="1">
        <v>318.13130000000001</v>
      </c>
      <c r="L822" s="7">
        <f>G822-J822</f>
        <v>-0.38466999999997142</v>
      </c>
      <c r="M822" s="1" t="s">
        <v>24</v>
      </c>
      <c r="N822" s="2">
        <v>9877494.3356619403</v>
      </c>
      <c r="O822" s="1">
        <v>9483999.2034735493</v>
      </c>
      <c r="P822" s="1">
        <v>9004680.4920263309</v>
      </c>
      <c r="Q822" s="1">
        <f>STDEV(N822:P822)</f>
        <v>437109.60712414514</v>
      </c>
      <c r="R822" s="1">
        <v>9455391.3437206075</v>
      </c>
      <c r="S822" s="1">
        <v>1.1595314684311919E-2</v>
      </c>
    </row>
    <row r="823" spans="1:19" x14ac:dyDescent="0.3">
      <c r="A823" s="1">
        <v>833</v>
      </c>
      <c r="B823" s="1" t="s">
        <v>1305</v>
      </c>
      <c r="C823" s="1" t="s">
        <v>1306</v>
      </c>
      <c r="D823" s="1">
        <v>1.099</v>
      </c>
      <c r="E823" s="1" t="s">
        <v>1307</v>
      </c>
      <c r="F823" s="1" t="s">
        <v>1308</v>
      </c>
      <c r="G823" s="1">
        <v>416.25081999999998</v>
      </c>
      <c r="H823" s="2">
        <v>48511878.915254802</v>
      </c>
      <c r="I823" s="1" t="s">
        <v>23</v>
      </c>
      <c r="J823" s="1">
        <v>416.63646</v>
      </c>
      <c r="K823" s="1">
        <v>417.25810000000001</v>
      </c>
      <c r="L823" s="7">
        <f>G823-J823</f>
        <v>-0.38564000000002352</v>
      </c>
      <c r="M823" s="1" t="s">
        <v>1309</v>
      </c>
      <c r="N823" s="2">
        <v>3394966.1895747702</v>
      </c>
      <c r="O823" s="1">
        <v>23195187.188843202</v>
      </c>
      <c r="P823" s="1">
        <v>48511878.915254802</v>
      </c>
      <c r="Q823" s="1">
        <f>STDEV(N823:P823)</f>
        <v>22614595.01253802</v>
      </c>
      <c r="R823" s="1">
        <v>25034010.764557589</v>
      </c>
      <c r="S823" s="1">
        <v>3.0699652935917074E-2</v>
      </c>
    </row>
    <row r="824" spans="1:19" x14ac:dyDescent="0.3">
      <c r="A824" s="1">
        <v>166</v>
      </c>
      <c r="B824" s="1" t="s">
        <v>1178</v>
      </c>
      <c r="C824" s="1" t="s">
        <v>1179</v>
      </c>
      <c r="D824" s="1">
        <v>12.667999999999999</v>
      </c>
      <c r="E824" s="1" t="s">
        <v>1180</v>
      </c>
      <c r="F824" s="1" t="s">
        <v>1181</v>
      </c>
      <c r="G824" s="1">
        <v>534.30056000000002</v>
      </c>
      <c r="H824" s="2">
        <v>61072688.054070599</v>
      </c>
      <c r="I824" s="1" t="s">
        <v>23</v>
      </c>
      <c r="J824" s="1">
        <v>534.68957999999998</v>
      </c>
      <c r="K824" s="1">
        <v>535.30782999999997</v>
      </c>
      <c r="L824" s="7">
        <f>G824-J824</f>
        <v>-0.38901999999995951</v>
      </c>
      <c r="M824" s="1" t="s">
        <v>1182</v>
      </c>
      <c r="N824" s="2">
        <v>61072688.054070599</v>
      </c>
      <c r="O824" s="1">
        <v>17582159.488510899</v>
      </c>
      <c r="P824" s="1">
        <v>11969289.393869599</v>
      </c>
      <c r="Q824" s="1">
        <f>STDEV(N824:P824)</f>
        <v>26876489.557460546</v>
      </c>
      <c r="R824" s="1">
        <v>30208045.645483699</v>
      </c>
      <c r="S824" s="1">
        <v>3.7044663993739388E-2</v>
      </c>
    </row>
    <row r="825" spans="1:19" x14ac:dyDescent="0.3">
      <c r="A825" s="1">
        <v>555</v>
      </c>
      <c r="B825" s="1" t="s">
        <v>4249</v>
      </c>
      <c r="C825" s="1" t="s">
        <v>4250</v>
      </c>
      <c r="D825" s="1">
        <v>6.298</v>
      </c>
      <c r="E825" s="1" t="s">
        <v>4251</v>
      </c>
      <c r="F825" s="1" t="s">
        <v>4252</v>
      </c>
      <c r="G825" s="1">
        <v>595.13679000000002</v>
      </c>
      <c r="H825" s="2">
        <v>548940.45431989699</v>
      </c>
      <c r="I825" s="1" t="s">
        <v>17</v>
      </c>
      <c r="J825" s="1">
        <v>595.52603999999997</v>
      </c>
      <c r="K825" s="1">
        <v>594.12951999999996</v>
      </c>
      <c r="L825" s="7">
        <f>G825-J825</f>
        <v>-0.38924999999994725</v>
      </c>
      <c r="M825" s="1" t="s">
        <v>24</v>
      </c>
      <c r="N825" s="2">
        <v>154974.668275879</v>
      </c>
      <c r="O825" s="1">
        <v>394740.20486668701</v>
      </c>
      <c r="P825" s="1">
        <v>548940.45431989699</v>
      </c>
      <c r="Q825" s="1">
        <f>STDEV(N825:P825)</f>
        <v>198525.51055275451</v>
      </c>
      <c r="R825" s="1">
        <v>366218.44248748774</v>
      </c>
      <c r="S825" s="1">
        <v>4.4910019368591048E-4</v>
      </c>
    </row>
    <row r="826" spans="1:19" x14ac:dyDescent="0.3">
      <c r="A826" s="1">
        <v>824</v>
      </c>
      <c r="B826" s="1" t="s">
        <v>2730</v>
      </c>
      <c r="C826" s="1" t="s">
        <v>2731</v>
      </c>
      <c r="D826" s="1">
        <v>10.705</v>
      </c>
      <c r="E826" s="1" t="s">
        <v>2732</v>
      </c>
      <c r="F826" s="1" t="s">
        <v>2733</v>
      </c>
      <c r="G826" s="1">
        <v>432.24567999999999</v>
      </c>
      <c r="H826" s="2">
        <v>18287165.4198117</v>
      </c>
      <c r="I826" s="1" t="s">
        <v>23</v>
      </c>
      <c r="J826" s="1">
        <v>432.63585999999998</v>
      </c>
      <c r="K826" s="1">
        <v>433.25295999999997</v>
      </c>
      <c r="L826" s="7">
        <f>G826-J826</f>
        <v>-0.39017999999998665</v>
      </c>
      <c r="M826" s="1" t="s">
        <v>24</v>
      </c>
      <c r="N826" s="2">
        <v>5878073.1739202002</v>
      </c>
      <c r="O826" s="1">
        <v>983506.10778965801</v>
      </c>
      <c r="P826" s="1">
        <v>1098089.0204509301</v>
      </c>
      <c r="Q826" s="1">
        <f>STDEV(N826:P826)</f>
        <v>2793389.951180615</v>
      </c>
      <c r="R826" s="1">
        <v>2653222.7673869296</v>
      </c>
      <c r="S826" s="1">
        <v>3.2536942995874617E-3</v>
      </c>
    </row>
    <row r="827" spans="1:19" x14ac:dyDescent="0.3">
      <c r="A827" s="1">
        <v>359</v>
      </c>
      <c r="B827" s="1" t="s">
        <v>2293</v>
      </c>
      <c r="C827" s="1" t="s">
        <v>2294</v>
      </c>
      <c r="D827" s="1">
        <v>9.8049999999999997</v>
      </c>
      <c r="E827" s="1" t="s">
        <v>2295</v>
      </c>
      <c r="F827" s="1" t="s">
        <v>2296</v>
      </c>
      <c r="G827" s="1">
        <v>509.24113</v>
      </c>
      <c r="H827" s="2">
        <v>6498128.3409368005</v>
      </c>
      <c r="I827" s="1" t="s">
        <v>139</v>
      </c>
      <c r="J827" s="1">
        <v>509.63222000000002</v>
      </c>
      <c r="K827" s="1">
        <v>554.23925999999994</v>
      </c>
      <c r="L827" s="7">
        <f>G827-J827</f>
        <v>-0.3910900000000197</v>
      </c>
      <c r="M827" s="1" t="s">
        <v>2297</v>
      </c>
      <c r="N827" s="2">
        <v>6498128.3409368005</v>
      </c>
      <c r="O827" s="1">
        <v>5091849.3949499298</v>
      </c>
      <c r="P827" s="1">
        <v>3109279.97159835</v>
      </c>
      <c r="Q827" s="1">
        <f>STDEV(N827:P827)</f>
        <v>1702571.3525284061</v>
      </c>
      <c r="R827" s="1">
        <v>4899752.5691616936</v>
      </c>
      <c r="S827" s="1">
        <v>6.0086537774479663E-3</v>
      </c>
    </row>
    <row r="828" spans="1:19" x14ac:dyDescent="0.3">
      <c r="A828" s="1">
        <v>820</v>
      </c>
      <c r="B828" s="1" t="s">
        <v>2702</v>
      </c>
      <c r="C828" s="1" t="s">
        <v>2703</v>
      </c>
      <c r="D828" s="1">
        <v>7.5460000000000003</v>
      </c>
      <c r="E828" s="1" t="s">
        <v>2704</v>
      </c>
      <c r="F828" s="1" t="s">
        <v>2705</v>
      </c>
      <c r="G828" s="1">
        <v>448.24392999999998</v>
      </c>
      <c r="H828" s="2">
        <v>301955824.96975398</v>
      </c>
      <c r="I828" s="1" t="s">
        <v>23</v>
      </c>
      <c r="J828" s="1">
        <v>448.63526000000002</v>
      </c>
      <c r="K828" s="1">
        <v>449.25121999999999</v>
      </c>
      <c r="L828" s="7">
        <f>G828-J828</f>
        <v>-0.39133000000003904</v>
      </c>
      <c r="M828" s="1" t="s">
        <v>2706</v>
      </c>
      <c r="N828" s="2">
        <v>2161174.1066842698</v>
      </c>
      <c r="O828" s="1">
        <v>2939155.5207801601</v>
      </c>
      <c r="P828" s="1">
        <v>3134189.31128198</v>
      </c>
      <c r="Q828" s="1">
        <f>STDEV(N828:P828)</f>
        <v>514789.90026586974</v>
      </c>
      <c r="R828" s="1">
        <v>2744839.6462488035</v>
      </c>
      <c r="S828" s="1">
        <v>3.3660457086598546E-3</v>
      </c>
    </row>
    <row r="829" spans="1:19" x14ac:dyDescent="0.3">
      <c r="A829" s="1">
        <v>893</v>
      </c>
      <c r="B829" s="1" t="s">
        <v>1073</v>
      </c>
      <c r="C829" s="1" t="s">
        <v>1074</v>
      </c>
      <c r="D829" s="1">
        <v>7.7350000000000003</v>
      </c>
      <c r="E829" s="1" t="s">
        <v>231</v>
      </c>
      <c r="F829" s="1" t="s">
        <v>1075</v>
      </c>
      <c r="G829" s="1">
        <v>414.31378000000001</v>
      </c>
      <c r="H829" s="2">
        <v>63346468.795405798</v>
      </c>
      <c r="I829" s="1" t="s">
        <v>23</v>
      </c>
      <c r="J829" s="1">
        <v>414.70670000000001</v>
      </c>
      <c r="K829" s="1">
        <v>415.32105000000001</v>
      </c>
      <c r="L829" s="7">
        <f>G829-J829</f>
        <v>-0.39292000000000371</v>
      </c>
      <c r="M829" s="1" t="s">
        <v>1076</v>
      </c>
      <c r="N829" s="2">
        <v>6381249.72174484</v>
      </c>
      <c r="O829" s="1">
        <v>41399352.690375999</v>
      </c>
      <c r="P829" s="1">
        <v>63346468.795405798</v>
      </c>
      <c r="Q829" s="1">
        <f>STDEV(N829:P829)</f>
        <v>28731456.700973529</v>
      </c>
      <c r="R829" s="1">
        <v>37042357.069175549</v>
      </c>
      <c r="S829" s="1">
        <v>4.5425701724231909E-2</v>
      </c>
    </row>
    <row r="830" spans="1:19" x14ac:dyDescent="0.3">
      <c r="A830" s="1">
        <v>220</v>
      </c>
      <c r="B830" s="1" t="s">
        <v>3858</v>
      </c>
      <c r="C830" s="1" t="s">
        <v>3859</v>
      </c>
      <c r="D830" s="1">
        <v>14.065</v>
      </c>
      <c r="E830" s="1" t="s">
        <v>3860</v>
      </c>
      <c r="F830" s="1" t="s">
        <v>3861</v>
      </c>
      <c r="G830" s="1">
        <v>407.19267000000002</v>
      </c>
      <c r="H830" s="2">
        <v>11244839.8518387</v>
      </c>
      <c r="I830" s="1" t="s">
        <v>17</v>
      </c>
      <c r="J830" s="1">
        <v>407.58663999999999</v>
      </c>
      <c r="K830" s="1">
        <v>406.18538999999998</v>
      </c>
      <c r="L830" s="7">
        <f>G830-J830</f>
        <v>-0.39396999999996751</v>
      </c>
      <c r="M830" s="1" t="s">
        <v>24</v>
      </c>
      <c r="N830" s="2">
        <v>622415.81850214803</v>
      </c>
      <c r="O830" s="1">
        <v>909475.32098949398</v>
      </c>
      <c r="P830" s="1">
        <v>584495.28257122298</v>
      </c>
      <c r="Q830" s="1">
        <f>STDEV(N830:P830)</f>
        <v>177695.03387541597</v>
      </c>
      <c r="R830" s="1">
        <v>705462.14068762166</v>
      </c>
      <c r="S830" s="1">
        <v>8.6512077837727294E-4</v>
      </c>
    </row>
    <row r="831" spans="1:19" x14ac:dyDescent="0.3">
      <c r="A831" s="1">
        <v>872</v>
      </c>
      <c r="B831" s="1" t="s">
        <v>2198</v>
      </c>
      <c r="C831" s="1" t="s">
        <v>2199</v>
      </c>
      <c r="D831" s="1">
        <v>11.782999999999999</v>
      </c>
      <c r="E831" s="1" t="s">
        <v>2200</v>
      </c>
      <c r="F831" s="1" t="s">
        <v>2201</v>
      </c>
      <c r="G831" s="1">
        <v>456.30493999999999</v>
      </c>
      <c r="H831" s="2">
        <v>14975478.3050947</v>
      </c>
      <c r="I831" s="1" t="s">
        <v>23</v>
      </c>
      <c r="J831" s="1">
        <v>456.70031999999998</v>
      </c>
      <c r="K831" s="1">
        <v>457.31207999999998</v>
      </c>
      <c r="L831" s="7">
        <f>G831-J831</f>
        <v>-0.39537999999998874</v>
      </c>
      <c r="M831" s="1" t="s">
        <v>2202</v>
      </c>
      <c r="N831" s="2">
        <v>14293195.7074589</v>
      </c>
      <c r="O831" s="1">
        <v>2051316.12926728</v>
      </c>
      <c r="P831" s="1">
        <v>450324.952315111</v>
      </c>
      <c r="Q831" s="1">
        <f>STDEV(N831:P831)</f>
        <v>7572448.5152782518</v>
      </c>
      <c r="R831" s="1">
        <v>5598278.9296804303</v>
      </c>
      <c r="S831" s="1">
        <v>6.8652690851666569E-3</v>
      </c>
    </row>
    <row r="832" spans="1:19" x14ac:dyDescent="0.3">
      <c r="A832" s="1">
        <v>774</v>
      </c>
      <c r="B832" s="1" t="s">
        <v>415</v>
      </c>
      <c r="C832" s="1" t="s">
        <v>416</v>
      </c>
      <c r="D832" s="1">
        <v>13.441000000000001</v>
      </c>
      <c r="E832" s="1" t="s">
        <v>417</v>
      </c>
      <c r="F832" s="1" t="s">
        <v>418</v>
      </c>
      <c r="G832" s="1">
        <v>586.40328999999997</v>
      </c>
      <c r="H832" s="2">
        <v>256677431.31164801</v>
      </c>
      <c r="I832" s="1" t="s">
        <v>23</v>
      </c>
      <c r="J832" s="1">
        <v>586.79906000000005</v>
      </c>
      <c r="K832" s="1">
        <v>587.41093000000001</v>
      </c>
      <c r="L832" s="7">
        <f>G832-J832</f>
        <v>-0.39577000000008411</v>
      </c>
      <c r="M832" s="1" t="s">
        <v>419</v>
      </c>
      <c r="N832" s="2">
        <v>174260958.66604999</v>
      </c>
      <c r="O832" s="1">
        <v>155347493.49180701</v>
      </c>
      <c r="P832" s="1">
        <v>44015157.014422096</v>
      </c>
      <c r="Q832" s="1">
        <f>STDEV(N832:P832)</f>
        <v>70375868.447319075</v>
      </c>
      <c r="R832" s="1">
        <v>124541203.05742638</v>
      </c>
      <c r="S832" s="1">
        <v>0.15272709379423854</v>
      </c>
    </row>
    <row r="833" spans="1:19" x14ac:dyDescent="0.3">
      <c r="A833" s="1">
        <v>376</v>
      </c>
      <c r="B833" s="1" t="s">
        <v>3082</v>
      </c>
      <c r="C833" s="1" t="s">
        <v>3083</v>
      </c>
      <c r="D833" s="1">
        <v>21.908999999999999</v>
      </c>
      <c r="E833" s="1" t="s">
        <v>3084</v>
      </c>
      <c r="F833" s="1" t="s">
        <v>3085</v>
      </c>
      <c r="G833" s="1">
        <v>415.25466999999998</v>
      </c>
      <c r="H833" s="2">
        <v>2343085.9033007799</v>
      </c>
      <c r="I833" s="1" t="s">
        <v>290</v>
      </c>
      <c r="J833" s="1">
        <v>415.65170000000001</v>
      </c>
      <c r="K833" s="1">
        <v>208.63461000000001</v>
      </c>
      <c r="L833" s="7">
        <f>G833-J833</f>
        <v>-0.3970300000000293</v>
      </c>
      <c r="M833" s="1" t="s">
        <v>3086</v>
      </c>
      <c r="N833" s="2">
        <v>671133.50097278901</v>
      </c>
      <c r="O833" s="1">
        <v>2308086.6831349502</v>
      </c>
      <c r="P833" s="1">
        <v>2343085.9033007799</v>
      </c>
      <c r="Q833" s="1">
        <f>STDEV(N833:P833)</f>
        <v>955359.05132166436</v>
      </c>
      <c r="R833" s="1">
        <v>1774102.0291361732</v>
      </c>
      <c r="S833" s="1">
        <v>2.1756128923814209E-3</v>
      </c>
    </row>
    <row r="834" spans="1:19" x14ac:dyDescent="0.3">
      <c r="A834" s="1">
        <v>958</v>
      </c>
      <c r="B834" s="1" t="s">
        <v>966</v>
      </c>
      <c r="C834" s="1" t="s">
        <v>967</v>
      </c>
      <c r="D834" s="1">
        <v>11.51</v>
      </c>
      <c r="E834" s="1" t="s">
        <v>968</v>
      </c>
      <c r="F834" s="1" t="s">
        <v>969</v>
      </c>
      <c r="G834" s="1">
        <v>432.28161999999998</v>
      </c>
      <c r="H834" s="2">
        <v>706258447.52985203</v>
      </c>
      <c r="I834" s="1" t="s">
        <v>156</v>
      </c>
      <c r="J834" s="1">
        <v>432.67892000000001</v>
      </c>
      <c r="K834" s="1">
        <v>415.27832999999998</v>
      </c>
      <c r="L834" s="7">
        <f>G834-J834</f>
        <v>-0.39730000000002974</v>
      </c>
      <c r="M834" s="1" t="s">
        <v>970</v>
      </c>
      <c r="N834" s="2">
        <v>79253182.047763899</v>
      </c>
      <c r="O834" s="1">
        <v>37943882.619308501</v>
      </c>
      <c r="P834" s="1">
        <v>13753424.076617301</v>
      </c>
      <c r="Q834" s="1">
        <f>STDEV(N834:P834)</f>
        <v>33120624.98920732</v>
      </c>
      <c r="R834" s="1">
        <v>43650162.914563231</v>
      </c>
      <c r="S834" s="1">
        <v>5.3528971632884552E-2</v>
      </c>
    </row>
    <row r="835" spans="1:19" x14ac:dyDescent="0.3">
      <c r="A835" s="1">
        <v>152</v>
      </c>
      <c r="B835" s="1" t="s">
        <v>2582</v>
      </c>
      <c r="C835" s="1" t="s">
        <v>2583</v>
      </c>
      <c r="D835" s="1">
        <v>12.801</v>
      </c>
      <c r="E835" s="1" t="s">
        <v>2584</v>
      </c>
      <c r="F835" s="1" t="s">
        <v>2585</v>
      </c>
      <c r="G835" s="1">
        <v>718.48087999999996</v>
      </c>
      <c r="H835" s="2">
        <v>46402545.4385693</v>
      </c>
      <c r="I835" s="1" t="s">
        <v>23</v>
      </c>
      <c r="J835" s="1">
        <v>718.88030000000003</v>
      </c>
      <c r="K835" s="1">
        <v>719.48839999999996</v>
      </c>
      <c r="L835" s="7">
        <f>G835-J835</f>
        <v>-0.39942000000007738</v>
      </c>
      <c r="M835" s="1" t="s">
        <v>2586</v>
      </c>
      <c r="N835" s="2">
        <v>1508300.19032315</v>
      </c>
      <c r="O835" s="1">
        <v>1528116.2021812601</v>
      </c>
      <c r="P835" s="1">
        <v>5846349.0634763101</v>
      </c>
      <c r="Q835" s="1">
        <f>STDEV(N835:P835)</f>
        <v>2498872.9374313196</v>
      </c>
      <c r="R835" s="1">
        <v>2960921.8186602402</v>
      </c>
      <c r="S835" s="1">
        <v>3.6310311223460151E-3</v>
      </c>
    </row>
    <row r="836" spans="1:19" x14ac:dyDescent="0.3">
      <c r="A836" s="1">
        <v>878</v>
      </c>
      <c r="B836" s="1" t="s">
        <v>729</v>
      </c>
      <c r="C836" s="1" t="s">
        <v>730</v>
      </c>
      <c r="D836" s="1">
        <v>15.021000000000001</v>
      </c>
      <c r="E836" s="1" t="s">
        <v>731</v>
      </c>
      <c r="F836" s="1" t="s">
        <v>732</v>
      </c>
      <c r="G836" s="1">
        <v>442.31734</v>
      </c>
      <c r="H836" s="2">
        <v>90760805.141666502</v>
      </c>
      <c r="I836" s="1" t="s">
        <v>23</v>
      </c>
      <c r="J836" s="1">
        <v>442.71679999999998</v>
      </c>
      <c r="K836" s="1">
        <v>443.32461999999998</v>
      </c>
      <c r="L836" s="7">
        <f>G836-J836</f>
        <v>-0.39945999999997639</v>
      </c>
      <c r="M836" s="1" t="s">
        <v>733</v>
      </c>
      <c r="N836" s="2">
        <v>90760805.141666502</v>
      </c>
      <c r="O836" s="1">
        <v>66632094.8215653</v>
      </c>
      <c r="P836" s="1">
        <v>28521841.2620041</v>
      </c>
      <c r="Q836" s="1">
        <f>STDEV(N836:P836)</f>
        <v>31380128.300405148</v>
      </c>
      <c r="R836" s="1">
        <v>61971580.408411972</v>
      </c>
      <c r="S836" s="1">
        <v>7.5996851975554683E-2</v>
      </c>
    </row>
    <row r="837" spans="1:19" x14ac:dyDescent="0.3">
      <c r="A837" s="1">
        <v>953</v>
      </c>
      <c r="B837" s="1" t="s">
        <v>2531</v>
      </c>
      <c r="C837" s="1" t="s">
        <v>2532</v>
      </c>
      <c r="D837" s="1">
        <v>11.496</v>
      </c>
      <c r="E837" s="1" t="s">
        <v>2533</v>
      </c>
      <c r="F837" s="1" t="s">
        <v>2534</v>
      </c>
      <c r="G837" s="1">
        <v>398.26351</v>
      </c>
      <c r="H837" s="2">
        <v>7865817.5894991001</v>
      </c>
      <c r="I837" s="1" t="s">
        <v>23</v>
      </c>
      <c r="J837" s="1">
        <v>398.66424000000001</v>
      </c>
      <c r="K837" s="1">
        <v>399.27105999999998</v>
      </c>
      <c r="L837" s="7">
        <f>G837-J837</f>
        <v>-0.40073000000001002</v>
      </c>
      <c r="M837" s="1" t="s">
        <v>2535</v>
      </c>
      <c r="N837" s="2">
        <v>6702391.18788704</v>
      </c>
      <c r="O837" s="1">
        <v>2316843.6901959898</v>
      </c>
      <c r="P837" s="1">
        <v>844297.33187127905</v>
      </c>
      <c r="Q837" s="1">
        <f>STDEV(N837:P837)</f>
        <v>3047367.2587390686</v>
      </c>
      <c r="R837" s="1">
        <v>3287844.0699847694</v>
      </c>
      <c r="S837" s="1">
        <v>4.0319416974465483E-3</v>
      </c>
    </row>
    <row r="838" spans="1:19" x14ac:dyDescent="0.3">
      <c r="A838" s="1">
        <v>246</v>
      </c>
      <c r="B838" s="1" t="s">
        <v>1767</v>
      </c>
      <c r="C838" s="1" t="s">
        <v>1768</v>
      </c>
      <c r="D838" s="1">
        <v>0.70399999999999996</v>
      </c>
      <c r="E838" s="1" t="s">
        <v>1769</v>
      </c>
      <c r="F838" s="1" t="s">
        <v>1770</v>
      </c>
      <c r="G838" s="1">
        <v>341.08600999999999</v>
      </c>
      <c r="H838" s="2">
        <v>11801854.793394901</v>
      </c>
      <c r="I838" s="1" t="s">
        <v>959</v>
      </c>
      <c r="J838" s="1">
        <v>341.48703999999998</v>
      </c>
      <c r="K838" s="1">
        <v>322.06805000000003</v>
      </c>
      <c r="L838" s="7">
        <f>G838-J838</f>
        <v>-0.40102999999999156</v>
      </c>
      <c r="M838" s="1" t="s">
        <v>1771</v>
      </c>
      <c r="N838" s="2">
        <v>11801854.793394901</v>
      </c>
      <c r="O838" s="1">
        <v>10273744.037601599</v>
      </c>
      <c r="P838" s="1">
        <v>7632604.2265022602</v>
      </c>
      <c r="Q838" s="1">
        <f>STDEV(N838:P838)</f>
        <v>2109241.2645814801</v>
      </c>
      <c r="R838" s="1">
        <v>9902734.3524995875</v>
      </c>
      <c r="S838" s="1">
        <v>1.2143899377431358E-2</v>
      </c>
    </row>
    <row r="839" spans="1:19" x14ac:dyDescent="0.3">
      <c r="A839" s="1">
        <v>762</v>
      </c>
      <c r="B839" s="1" t="s">
        <v>2666</v>
      </c>
      <c r="C839" s="1" t="s">
        <v>2667</v>
      </c>
      <c r="D839" s="1">
        <v>13.859</v>
      </c>
      <c r="E839" s="1" t="s">
        <v>2668</v>
      </c>
      <c r="F839" s="1" t="s">
        <v>2669</v>
      </c>
      <c r="G839" s="1">
        <v>659.49120000000005</v>
      </c>
      <c r="H839" s="2">
        <v>74144154.384586707</v>
      </c>
      <c r="I839" s="1" t="s">
        <v>23</v>
      </c>
      <c r="J839" s="1">
        <v>659.89283999999998</v>
      </c>
      <c r="K839" s="1">
        <v>660.49847</v>
      </c>
      <c r="L839" s="7">
        <f>G839-J839</f>
        <v>-0.40163999999992939</v>
      </c>
      <c r="M839" s="1" t="s">
        <v>2670</v>
      </c>
      <c r="N839" s="2">
        <v>3028839.9974302198</v>
      </c>
      <c r="O839" s="1">
        <v>3022591.6726719299</v>
      </c>
      <c r="P839" s="1">
        <v>2359324.9403337999</v>
      </c>
      <c r="Q839" s="1">
        <f>STDEV(N839:P839)</f>
        <v>384753.64660771389</v>
      </c>
      <c r="R839" s="1">
        <v>2803585.5368119832</v>
      </c>
      <c r="S839" s="1">
        <v>3.4380868397699479E-3</v>
      </c>
    </row>
    <row r="840" spans="1:19" x14ac:dyDescent="0.3">
      <c r="A840" s="1">
        <v>960</v>
      </c>
      <c r="B840" s="1" t="s">
        <v>410</v>
      </c>
      <c r="C840" s="1" t="s">
        <v>411</v>
      </c>
      <c r="D840" s="1">
        <v>12.4</v>
      </c>
      <c r="E840" s="1" t="s">
        <v>412</v>
      </c>
      <c r="F840" s="1" t="s">
        <v>413</v>
      </c>
      <c r="G840" s="1">
        <v>448.27667000000002</v>
      </c>
      <c r="H840" s="2">
        <v>277882777.37079102</v>
      </c>
      <c r="I840" s="1" t="s">
        <v>23</v>
      </c>
      <c r="J840" s="1">
        <v>448.67831999999999</v>
      </c>
      <c r="K840" s="1">
        <v>449.28395</v>
      </c>
      <c r="L840" s="7">
        <f>G840-J840</f>
        <v>-0.40164999999996098</v>
      </c>
      <c r="M840" s="1" t="s">
        <v>414</v>
      </c>
      <c r="N840" s="2">
        <v>156739764.49700201</v>
      </c>
      <c r="O840" s="1">
        <v>145094959.27095899</v>
      </c>
      <c r="P840" s="1">
        <v>76822594.290045395</v>
      </c>
      <c r="Q840" s="1">
        <f>STDEV(N840:P840)</f>
        <v>43173045.994631097</v>
      </c>
      <c r="R840" s="1">
        <v>126219106.01933546</v>
      </c>
      <c r="S840" s="1">
        <v>0.15478473605840518</v>
      </c>
    </row>
    <row r="841" spans="1:19" x14ac:dyDescent="0.3">
      <c r="A841" s="1">
        <v>816</v>
      </c>
      <c r="B841" s="1" t="s">
        <v>3045</v>
      </c>
      <c r="C841" s="1" t="s">
        <v>3046</v>
      </c>
      <c r="D841" s="1">
        <v>11.093999999999999</v>
      </c>
      <c r="E841" s="1" t="s">
        <v>3047</v>
      </c>
      <c r="F841" s="1" t="s">
        <v>3048</v>
      </c>
      <c r="G841" s="1">
        <v>448.23349999999999</v>
      </c>
      <c r="H841" s="2">
        <v>2723502.33723643</v>
      </c>
      <c r="I841" s="1" t="s">
        <v>17</v>
      </c>
      <c r="J841" s="1">
        <v>448.63526000000002</v>
      </c>
      <c r="K841" s="1">
        <v>447.22622999999999</v>
      </c>
      <c r="L841" s="7">
        <f>G841-J841</f>
        <v>-0.40176000000002432</v>
      </c>
      <c r="M841" s="1" t="s">
        <v>3049</v>
      </c>
      <c r="N841" s="2">
        <v>2723502.33723643</v>
      </c>
      <c r="O841" s="1">
        <v>1841932.2964493299</v>
      </c>
      <c r="P841" s="1">
        <v>986146.76132396504</v>
      </c>
      <c r="Q841" s="1">
        <f>STDEV(N841:P841)</f>
        <v>868709.67686729715</v>
      </c>
      <c r="R841" s="1">
        <v>1850527.1316699085</v>
      </c>
      <c r="S841" s="1">
        <v>2.2693343557715086E-3</v>
      </c>
    </row>
    <row r="842" spans="1:19" x14ac:dyDescent="0.3">
      <c r="A842" s="1">
        <v>163</v>
      </c>
      <c r="B842" s="1" t="s">
        <v>749</v>
      </c>
      <c r="C842" s="1" t="s">
        <v>750</v>
      </c>
      <c r="D842" s="1">
        <v>8.61</v>
      </c>
      <c r="E842" s="1" t="s">
        <v>751</v>
      </c>
      <c r="F842" s="1" t="s">
        <v>752</v>
      </c>
      <c r="G842" s="1">
        <v>568.30310999999995</v>
      </c>
      <c r="H842" s="2">
        <v>93679720.320961505</v>
      </c>
      <c r="I842" s="1" t="s">
        <v>23</v>
      </c>
      <c r="J842" s="1">
        <v>568.70579999999995</v>
      </c>
      <c r="K842" s="1">
        <v>569.31038999999998</v>
      </c>
      <c r="L842" s="7">
        <f>G842-J842</f>
        <v>-0.40269000000000688</v>
      </c>
      <c r="M842" s="1" t="s">
        <v>753</v>
      </c>
      <c r="N842" s="2">
        <v>72014787.361494005</v>
      </c>
      <c r="O842" s="1">
        <v>61425806.2109982</v>
      </c>
      <c r="P842" s="1">
        <v>50732449.488849901</v>
      </c>
      <c r="Q842" s="1">
        <f>STDEV(N842:P842)</f>
        <v>10641211.593908891</v>
      </c>
      <c r="R842" s="1">
        <v>61391014.353780709</v>
      </c>
      <c r="S842" s="1">
        <v>7.528489349030916E-2</v>
      </c>
    </row>
    <row r="843" spans="1:19" x14ac:dyDescent="0.3">
      <c r="A843" s="1">
        <v>355</v>
      </c>
      <c r="B843" s="1" t="s">
        <v>2693</v>
      </c>
      <c r="C843" s="1" t="s">
        <v>2694</v>
      </c>
      <c r="D843" s="1">
        <v>13.984999999999999</v>
      </c>
      <c r="E843" s="1" t="s">
        <v>2695</v>
      </c>
      <c r="F843" s="1" t="s">
        <v>2696</v>
      </c>
      <c r="G843" s="1">
        <v>400.27965</v>
      </c>
      <c r="H843" s="2">
        <v>6592313.4758229796</v>
      </c>
      <c r="I843" s="1" t="s">
        <v>23</v>
      </c>
      <c r="J843" s="1">
        <v>400.68342000000001</v>
      </c>
      <c r="K843" s="1">
        <v>401.28692999999998</v>
      </c>
      <c r="L843" s="7">
        <f>G843-J843</f>
        <v>-0.40377000000000862</v>
      </c>
      <c r="M843" s="1" t="s">
        <v>2697</v>
      </c>
      <c r="N843" s="2">
        <v>722788.39862435998</v>
      </c>
      <c r="O843" s="1">
        <v>6592313.4758229796</v>
      </c>
      <c r="P843" s="1">
        <v>954979.73507005302</v>
      </c>
      <c r="Q843" s="1">
        <f>STDEV(N843:P843)</f>
        <v>3323772.1831581485</v>
      </c>
      <c r="R843" s="1">
        <v>2756693.8698391304</v>
      </c>
      <c r="S843" s="1">
        <v>3.380582754020681E-3</v>
      </c>
    </row>
    <row r="844" spans="1:19" x14ac:dyDescent="0.3">
      <c r="A844" s="1">
        <v>460</v>
      </c>
      <c r="B844" s="1" t="s">
        <v>4218</v>
      </c>
      <c r="C844" s="1" t="s">
        <v>4219</v>
      </c>
      <c r="D844" s="1">
        <v>6.3010000000000002</v>
      </c>
      <c r="E844" s="1" t="s">
        <v>4220</v>
      </c>
      <c r="F844" s="1" t="s">
        <v>4221</v>
      </c>
      <c r="G844" s="1">
        <v>596.13004000000001</v>
      </c>
      <c r="H844" s="2">
        <v>548940.45431989699</v>
      </c>
      <c r="I844" s="1" t="s">
        <v>17</v>
      </c>
      <c r="J844" s="1">
        <v>596.53398000000004</v>
      </c>
      <c r="K844" s="1">
        <v>595.12275999999997</v>
      </c>
      <c r="L844" s="7">
        <f>G844-J844</f>
        <v>-0.40394000000003416</v>
      </c>
      <c r="M844" s="1" t="s">
        <v>24</v>
      </c>
      <c r="N844" s="2">
        <v>474875.54098288401</v>
      </c>
      <c r="O844" s="1">
        <v>191202.97001487901</v>
      </c>
      <c r="P844" s="1">
        <v>548940.45431989699</v>
      </c>
      <c r="Q844" s="1">
        <f>STDEV(N844:P844)</f>
        <v>188826.13104127481</v>
      </c>
      <c r="R844" s="1">
        <v>405006.32177255332</v>
      </c>
      <c r="S844" s="1">
        <v>4.9666646036889935E-4</v>
      </c>
    </row>
    <row r="845" spans="1:19" x14ac:dyDescent="0.3">
      <c r="A845" s="1">
        <v>143</v>
      </c>
      <c r="B845" s="1" t="s">
        <v>2768</v>
      </c>
      <c r="C845" s="1" t="s">
        <v>2769</v>
      </c>
      <c r="D845" s="1">
        <v>5.3810000000000002</v>
      </c>
      <c r="E845" s="1" t="s">
        <v>2770</v>
      </c>
      <c r="F845" s="1" t="s">
        <v>2771</v>
      </c>
      <c r="G845" s="1">
        <v>475.21726999999998</v>
      </c>
      <c r="H845" s="2">
        <v>4820492.8552364502</v>
      </c>
      <c r="I845" s="1" t="s">
        <v>23</v>
      </c>
      <c r="J845" s="1">
        <v>475.62238000000002</v>
      </c>
      <c r="K845" s="1">
        <v>476.22455000000002</v>
      </c>
      <c r="L845" s="7">
        <f>G845-J845</f>
        <v>-0.40511000000003605</v>
      </c>
      <c r="M845" s="1" t="s">
        <v>24</v>
      </c>
      <c r="N845" s="2">
        <v>1860317.31387576</v>
      </c>
      <c r="O845" s="1">
        <v>2506015.2082769801</v>
      </c>
      <c r="P845" s="1">
        <v>3169120.1096104099</v>
      </c>
      <c r="Q845" s="1">
        <f>STDEV(N845:P845)</f>
        <v>654420.69027109945</v>
      </c>
      <c r="R845" s="1">
        <v>2511817.5439210501</v>
      </c>
      <c r="S845" s="1">
        <v>3.0802865574339634E-3</v>
      </c>
    </row>
    <row r="846" spans="1:19" x14ac:dyDescent="0.3">
      <c r="A846" s="1">
        <v>850</v>
      </c>
      <c r="B846" s="1" t="s">
        <v>3578</v>
      </c>
      <c r="C846" s="1" t="s">
        <v>3579</v>
      </c>
      <c r="D846" s="1">
        <v>14.968999999999999</v>
      </c>
      <c r="E846" s="1" t="s">
        <v>3580</v>
      </c>
      <c r="F846" s="1" t="s">
        <v>3581</v>
      </c>
      <c r="G846" s="1">
        <v>566.45021999999994</v>
      </c>
      <c r="H846" s="2">
        <v>615672348.36660504</v>
      </c>
      <c r="I846" s="1" t="s">
        <v>398</v>
      </c>
      <c r="J846" s="1">
        <v>566.85555999999997</v>
      </c>
      <c r="K846" s="1">
        <v>584.48406999999997</v>
      </c>
      <c r="L846" s="7">
        <f>G846-J846</f>
        <v>-0.40534000000002379</v>
      </c>
      <c r="M846" s="1" t="s">
        <v>3582</v>
      </c>
      <c r="N846" s="2">
        <v>915742.924454747</v>
      </c>
      <c r="O846" s="1">
        <v>1012147.25145721</v>
      </c>
      <c r="P846" s="1">
        <v>867657.62474998599</v>
      </c>
      <c r="Q846" s="1">
        <f>STDEV(N846:P846)</f>
        <v>73579.030684119367</v>
      </c>
      <c r="R846" s="1">
        <v>931849.26688731427</v>
      </c>
      <c r="S846" s="1">
        <v>1.1427433402933138E-3</v>
      </c>
    </row>
    <row r="847" spans="1:19" x14ac:dyDescent="0.3">
      <c r="A847" s="1">
        <v>253</v>
      </c>
      <c r="B847" s="1" t="s">
        <v>830</v>
      </c>
      <c r="C847" s="1" t="s">
        <v>831</v>
      </c>
      <c r="D847" s="1">
        <v>12.611000000000001</v>
      </c>
      <c r="E847" s="1" t="s">
        <v>832</v>
      </c>
      <c r="F847" s="1" t="s">
        <v>833</v>
      </c>
      <c r="G847" s="1">
        <v>710.40353000000005</v>
      </c>
      <c r="H847" s="2">
        <v>103231387.932027</v>
      </c>
      <c r="I847" s="1" t="s">
        <v>23</v>
      </c>
      <c r="J847" s="1">
        <v>710.81039999999996</v>
      </c>
      <c r="K847" s="1">
        <v>711.41057000000001</v>
      </c>
      <c r="L847" s="7">
        <f>G847-J847</f>
        <v>-0.40686999999991258</v>
      </c>
      <c r="M847" s="1" t="s">
        <v>834</v>
      </c>
      <c r="N847" s="2">
        <v>49372617.541612402</v>
      </c>
      <c r="O847" s="1">
        <v>69667895.974177405</v>
      </c>
      <c r="P847" s="1">
        <v>42158717.555373102</v>
      </c>
      <c r="Q847" s="1">
        <f>STDEV(N847:P847)</f>
        <v>14263552.484943381</v>
      </c>
      <c r="R847" s="1">
        <v>53733077.023720972</v>
      </c>
      <c r="S847" s="1">
        <v>6.589382865260128E-2</v>
      </c>
    </row>
    <row r="848" spans="1:19" x14ac:dyDescent="0.3">
      <c r="A848" s="1">
        <v>156</v>
      </c>
      <c r="B848" s="1" t="s">
        <v>4331</v>
      </c>
      <c r="C848" s="1" t="s">
        <v>4332</v>
      </c>
      <c r="D848" s="1">
        <v>11.728999999999999</v>
      </c>
      <c r="E848" s="1" t="s">
        <v>4333</v>
      </c>
      <c r="F848" s="1" t="s">
        <v>4334</v>
      </c>
      <c r="G848" s="1">
        <v>568.29808000000003</v>
      </c>
      <c r="H848" s="2">
        <v>2848644.6342295199</v>
      </c>
      <c r="I848" s="1" t="s">
        <v>23</v>
      </c>
      <c r="J848" s="1">
        <v>568.70579999999995</v>
      </c>
      <c r="K848" s="1">
        <v>569.30535999999995</v>
      </c>
      <c r="L848" s="7">
        <f>G848-J848</f>
        <v>-0.40771999999992659</v>
      </c>
      <c r="M848" s="1" t="s">
        <v>24</v>
      </c>
      <c r="N848" s="2">
        <v>275973.55431871797</v>
      </c>
      <c r="O848" s="1">
        <v>277082.50438585499</v>
      </c>
      <c r="P848" s="1">
        <v>333836.492454577</v>
      </c>
      <c r="Q848" s="1">
        <f>STDEV(N848:P848)</f>
        <v>33091.702237041973</v>
      </c>
      <c r="R848" s="1">
        <v>295630.8503863833</v>
      </c>
      <c r="S848" s="1">
        <v>3.6253737323070867E-4</v>
      </c>
    </row>
    <row r="849" spans="1:19" x14ac:dyDescent="0.3">
      <c r="A849" s="1">
        <v>237</v>
      </c>
      <c r="B849" s="1" t="s">
        <v>2500</v>
      </c>
      <c r="C849" s="1" t="s">
        <v>2501</v>
      </c>
      <c r="D849" s="1">
        <v>6.9850000000000003</v>
      </c>
      <c r="E849" s="1" t="s">
        <v>2502</v>
      </c>
      <c r="F849" s="1" t="s">
        <v>2503</v>
      </c>
      <c r="G849" s="1">
        <v>391.09275000000002</v>
      </c>
      <c r="H849" s="2">
        <v>4467169.4465659298</v>
      </c>
      <c r="I849" s="1" t="s">
        <v>23</v>
      </c>
      <c r="J849" s="1">
        <v>391.50112000000001</v>
      </c>
      <c r="K849" s="1">
        <v>392.10003</v>
      </c>
      <c r="L849" s="7">
        <f>G849-J849</f>
        <v>-0.4083699999999908</v>
      </c>
      <c r="M849" s="1" t="s">
        <v>24</v>
      </c>
      <c r="N849" s="2">
        <v>3758913.8646853501</v>
      </c>
      <c r="O849" s="1">
        <v>4467169.4465659298</v>
      </c>
      <c r="P849" s="1">
        <v>2481071.17384155</v>
      </c>
      <c r="Q849" s="1">
        <f>STDEV(N849:P849)</f>
        <v>1006569.6085158648</v>
      </c>
      <c r="R849" s="1">
        <v>3569051.4950309433</v>
      </c>
      <c r="S849" s="1">
        <v>4.3767913674859467E-3</v>
      </c>
    </row>
    <row r="850" spans="1:19" x14ac:dyDescent="0.3">
      <c r="A850" s="1">
        <v>387</v>
      </c>
      <c r="B850" s="1" t="s">
        <v>3531</v>
      </c>
      <c r="C850" s="1" t="s">
        <v>3532</v>
      </c>
      <c r="D850" s="1">
        <v>8.8819999999999997</v>
      </c>
      <c r="E850" s="1" t="s">
        <v>3533</v>
      </c>
      <c r="F850" s="1" t="s">
        <v>3534</v>
      </c>
      <c r="G850" s="1">
        <v>542.29979000000003</v>
      </c>
      <c r="H850" s="2">
        <v>3510714.17504788</v>
      </c>
      <c r="I850" s="1" t="s">
        <v>23</v>
      </c>
      <c r="J850" s="1">
        <v>542.70827999999995</v>
      </c>
      <c r="K850" s="1">
        <v>543.30706999999995</v>
      </c>
      <c r="L850" s="7">
        <f>G850-J850</f>
        <v>-0.4084899999999152</v>
      </c>
      <c r="M850" s="1" t="s">
        <v>24</v>
      </c>
      <c r="N850" s="2">
        <v>804548.102989187</v>
      </c>
      <c r="O850" s="1">
        <v>1048049.5906290699</v>
      </c>
      <c r="P850" s="1">
        <v>1121607.8770938499</v>
      </c>
      <c r="Q850" s="1">
        <f>STDEV(N850:P850)</f>
        <v>165947.12829983357</v>
      </c>
      <c r="R850" s="1">
        <v>991401.85690403578</v>
      </c>
      <c r="S850" s="1">
        <v>1.2157737413002784E-3</v>
      </c>
    </row>
    <row r="851" spans="1:19" x14ac:dyDescent="0.3">
      <c r="A851" s="1">
        <v>871</v>
      </c>
      <c r="B851" s="1" t="s">
        <v>2175</v>
      </c>
      <c r="C851" s="1" t="s">
        <v>2176</v>
      </c>
      <c r="D851" s="1">
        <v>11.372</v>
      </c>
      <c r="E851" s="1" t="s">
        <v>2177</v>
      </c>
      <c r="F851" s="1" t="s">
        <v>2178</v>
      </c>
      <c r="G851" s="1">
        <v>442.30694999999997</v>
      </c>
      <c r="H851" s="2">
        <v>8801773.0751593895</v>
      </c>
      <c r="I851" s="1" t="s">
        <v>23</v>
      </c>
      <c r="J851" s="1">
        <v>442.71679999999998</v>
      </c>
      <c r="K851" s="1">
        <v>443.31423000000001</v>
      </c>
      <c r="L851" s="7">
        <f>G851-J851</f>
        <v>-0.40985000000000582</v>
      </c>
      <c r="M851" s="1" t="s">
        <v>2179</v>
      </c>
      <c r="N851" s="2">
        <v>4618395.2761849798</v>
      </c>
      <c r="O851" s="1">
        <v>5946997.2085489202</v>
      </c>
      <c r="P851" s="1">
        <v>7029486.4911285099</v>
      </c>
      <c r="Q851" s="1">
        <f>STDEV(N851:P851)</f>
        <v>1207637.2929787806</v>
      </c>
      <c r="R851" s="1">
        <v>5864959.6586208036</v>
      </c>
      <c r="S851" s="1">
        <v>7.1923044092369708E-3</v>
      </c>
    </row>
    <row r="852" spans="1:19" x14ac:dyDescent="0.3">
      <c r="A852" s="1">
        <v>812</v>
      </c>
      <c r="B852" s="1" t="s">
        <v>1463</v>
      </c>
      <c r="C852" s="1" t="s">
        <v>1464</v>
      </c>
      <c r="D852" s="1">
        <v>12.436</v>
      </c>
      <c r="E852" s="1" t="s">
        <v>1465</v>
      </c>
      <c r="F852" s="1" t="s">
        <v>1466</v>
      </c>
      <c r="G852" s="1">
        <v>592.35020999999995</v>
      </c>
      <c r="H852" s="2">
        <v>46162448.645282902</v>
      </c>
      <c r="I852" s="1" t="s">
        <v>23</v>
      </c>
      <c r="J852" s="1">
        <v>592.76058</v>
      </c>
      <c r="K852" s="1">
        <v>593.35748000000001</v>
      </c>
      <c r="L852" s="7">
        <f>G852-J852</f>
        <v>-0.41037000000005719</v>
      </c>
      <c r="M852" s="1" t="s">
        <v>1467</v>
      </c>
      <c r="N852" s="2">
        <v>27376948.917264398</v>
      </c>
      <c r="O852" s="1">
        <v>14474360.9699149</v>
      </c>
      <c r="P852" s="1">
        <v>5815376.4990889402</v>
      </c>
      <c r="Q852" s="1">
        <f>STDEV(N852:P852)</f>
        <v>10850162.771047242</v>
      </c>
      <c r="R852" s="1">
        <v>15888895.462089414</v>
      </c>
      <c r="S852" s="1">
        <v>1.9484835283038317E-2</v>
      </c>
    </row>
    <row r="853" spans="1:19" x14ac:dyDescent="0.3">
      <c r="A853" s="1">
        <v>796</v>
      </c>
      <c r="B853" s="1" t="s">
        <v>2035</v>
      </c>
      <c r="C853" s="1" t="s">
        <v>2036</v>
      </c>
      <c r="D853" s="1">
        <v>11.792</v>
      </c>
      <c r="E853" s="1" t="s">
        <v>2037</v>
      </c>
      <c r="F853" s="1" t="s">
        <v>2038</v>
      </c>
      <c r="G853" s="1">
        <v>412.27908000000002</v>
      </c>
      <c r="H853" s="2">
        <v>45502197.224742897</v>
      </c>
      <c r="I853" s="1" t="s">
        <v>398</v>
      </c>
      <c r="J853" s="1">
        <v>412.69081999999997</v>
      </c>
      <c r="K853" s="1">
        <v>430.31299000000001</v>
      </c>
      <c r="L853" s="7">
        <f>G853-J853</f>
        <v>-0.41173999999995203</v>
      </c>
      <c r="M853" s="1" t="s">
        <v>2039</v>
      </c>
      <c r="N853" s="2">
        <v>7258288.1451037601</v>
      </c>
      <c r="O853" s="1">
        <v>11362804.4873631</v>
      </c>
      <c r="P853" s="1">
        <v>2857290.6850318201</v>
      </c>
      <c r="Q853" s="1">
        <f>STDEV(N853:P853)</f>
        <v>4253618.0303572454</v>
      </c>
      <c r="R853" s="1">
        <v>7159461.1058328934</v>
      </c>
      <c r="S853" s="1">
        <v>8.7797745724565741E-3</v>
      </c>
    </row>
    <row r="854" spans="1:19" x14ac:dyDescent="0.3">
      <c r="A854" s="1">
        <v>772</v>
      </c>
      <c r="B854" s="1" t="s">
        <v>4109</v>
      </c>
      <c r="C854" s="1" t="s">
        <v>4110</v>
      </c>
      <c r="D854" s="1">
        <v>7.968</v>
      </c>
      <c r="E854" s="1" t="s">
        <v>4111</v>
      </c>
      <c r="F854" s="1" t="s">
        <v>4112</v>
      </c>
      <c r="G854" s="1">
        <v>470.27188999999998</v>
      </c>
      <c r="H854" s="2">
        <v>548578.30584083695</v>
      </c>
      <c r="I854" s="1" t="s">
        <v>17</v>
      </c>
      <c r="J854" s="1">
        <v>470.68383999999998</v>
      </c>
      <c r="K854" s="1">
        <v>469.26461999999998</v>
      </c>
      <c r="L854" s="7">
        <f>G854-J854</f>
        <v>-0.41194999999999027</v>
      </c>
      <c r="M854" s="1" t="s">
        <v>4113</v>
      </c>
      <c r="N854" s="2">
        <v>516756.84982455597</v>
      </c>
      <c r="O854" s="1">
        <v>548578.30584083695</v>
      </c>
      <c r="P854" s="1">
        <v>452925.22742132802</v>
      </c>
      <c r="Q854" s="1">
        <f>STDEV(N854:P854)</f>
        <v>48711.039975131418</v>
      </c>
      <c r="R854" s="1">
        <v>506086.7943622403</v>
      </c>
      <c r="S854" s="1">
        <v>6.2062324285519586E-4</v>
      </c>
    </row>
    <row r="855" spans="1:19" x14ac:dyDescent="0.3">
      <c r="A855" s="1">
        <v>469</v>
      </c>
      <c r="B855" s="1" t="s">
        <v>1498</v>
      </c>
      <c r="C855" s="1" t="s">
        <v>1499</v>
      </c>
      <c r="D855" s="1">
        <v>5.9139999999999997</v>
      </c>
      <c r="E855" s="1" t="s">
        <v>1500</v>
      </c>
      <c r="F855" s="1" t="s">
        <v>1501</v>
      </c>
      <c r="G855" s="1">
        <v>610.14823999999999</v>
      </c>
      <c r="H855" s="2">
        <v>25026650.198590901</v>
      </c>
      <c r="I855" s="1" t="s">
        <v>23</v>
      </c>
      <c r="J855" s="1">
        <v>610.56056000000001</v>
      </c>
      <c r="K855" s="1">
        <v>611.15556000000004</v>
      </c>
      <c r="L855" s="7">
        <f>G855-J855</f>
        <v>-0.41232000000002245</v>
      </c>
      <c r="M855" s="1" t="s">
        <v>1502</v>
      </c>
      <c r="N855" s="2">
        <v>14659539.2185896</v>
      </c>
      <c r="O855" s="1">
        <v>15620112.951152399</v>
      </c>
      <c r="P855" s="1">
        <v>15137086.065638</v>
      </c>
      <c r="Q855" s="1">
        <f>STDEV(N855:P855)</f>
        <v>480289.47155946761</v>
      </c>
      <c r="R855" s="1">
        <v>15138912.745126667</v>
      </c>
      <c r="S855" s="1">
        <v>1.8565118129633181E-2</v>
      </c>
    </row>
    <row r="856" spans="1:19" x14ac:dyDescent="0.3">
      <c r="A856" s="1">
        <v>771</v>
      </c>
      <c r="B856" s="1" t="s">
        <v>3464</v>
      </c>
      <c r="C856" s="1" t="s">
        <v>3465</v>
      </c>
      <c r="D856" s="1">
        <v>13.369</v>
      </c>
      <c r="E856" s="1" t="s">
        <v>3466</v>
      </c>
      <c r="F856" s="1" t="s">
        <v>3467</v>
      </c>
      <c r="G856" s="1">
        <v>806.56276000000003</v>
      </c>
      <c r="H856" s="2">
        <v>499076484.12527001</v>
      </c>
      <c r="I856" s="1" t="s">
        <v>17</v>
      </c>
      <c r="J856" s="1">
        <v>806.97573999999997</v>
      </c>
      <c r="K856" s="1">
        <v>805.55547999999999</v>
      </c>
      <c r="L856" s="7">
        <f>G856-J856</f>
        <v>-0.41297999999994772</v>
      </c>
      <c r="M856" s="1" t="s">
        <v>3468</v>
      </c>
      <c r="N856" s="2">
        <v>939446.71041794901</v>
      </c>
      <c r="O856" s="1">
        <v>1427898.3138744901</v>
      </c>
      <c r="P856" s="1">
        <v>936154.35506617604</v>
      </c>
      <c r="Q856" s="1">
        <f>STDEV(N856:P856)</f>
        <v>282962.87434558792</v>
      </c>
      <c r="R856" s="1">
        <v>1101166.4597862051</v>
      </c>
      <c r="S856" s="1">
        <v>1.3503800273174647E-3</v>
      </c>
    </row>
    <row r="857" spans="1:19" x14ac:dyDescent="0.3">
      <c r="A857" s="1">
        <v>959</v>
      </c>
      <c r="B857" s="1" t="s">
        <v>4233</v>
      </c>
      <c r="C857" s="1" t="s">
        <v>4234</v>
      </c>
      <c r="D857" s="1">
        <v>9.2119999999999997</v>
      </c>
      <c r="E857" s="1" t="s">
        <v>4235</v>
      </c>
      <c r="F857" s="1" t="s">
        <v>4236</v>
      </c>
      <c r="G857" s="1">
        <v>448.26440000000002</v>
      </c>
      <c r="H857" s="2">
        <v>2645626.16840168</v>
      </c>
      <c r="I857" s="1" t="s">
        <v>17</v>
      </c>
      <c r="J857" s="1">
        <v>448.67831999999999</v>
      </c>
      <c r="K857" s="1">
        <v>447.25716</v>
      </c>
      <c r="L857" s="7">
        <f>G857-J857</f>
        <v>-0.41391999999996187</v>
      </c>
      <c r="M857" s="1" t="s">
        <v>24</v>
      </c>
      <c r="N857" s="2">
        <v>143317.051260999</v>
      </c>
      <c r="O857" s="1">
        <v>807397.73098461004</v>
      </c>
      <c r="P857" s="1">
        <v>191159.67706654</v>
      </c>
      <c r="Q857" s="1">
        <f>STDEV(N857:P857)</f>
        <v>370369.50133681198</v>
      </c>
      <c r="R857" s="1">
        <v>380624.81977071631</v>
      </c>
      <c r="S857" s="1">
        <v>4.6676699054153662E-4</v>
      </c>
    </row>
    <row r="858" spans="1:19" x14ac:dyDescent="0.3">
      <c r="A858" s="1">
        <v>51</v>
      </c>
      <c r="B858" s="1" t="s">
        <v>4472</v>
      </c>
      <c r="C858" s="1" t="s">
        <v>4473</v>
      </c>
      <c r="D858" s="1">
        <v>10.605</v>
      </c>
      <c r="E858" s="1" t="s">
        <v>4474</v>
      </c>
      <c r="F858" s="1" t="s">
        <v>4475</v>
      </c>
      <c r="G858" s="1">
        <v>354.07119999999998</v>
      </c>
      <c r="H858" s="2">
        <v>375099.134357278</v>
      </c>
      <c r="I858" s="1" t="s">
        <v>139</v>
      </c>
      <c r="J858" s="1">
        <v>354.48579999999998</v>
      </c>
      <c r="K858" s="1">
        <v>399.06963999999999</v>
      </c>
      <c r="L858" s="7">
        <f>G858-J858</f>
        <v>-0.41460000000000719</v>
      </c>
      <c r="M858" s="1" t="s">
        <v>24</v>
      </c>
      <c r="N858" s="2">
        <v>165015.59444027499</v>
      </c>
      <c r="O858" s="1">
        <v>238176.429938849</v>
      </c>
      <c r="P858" s="1">
        <v>207155.13101439099</v>
      </c>
      <c r="Q858" s="1">
        <f>STDEV(N858:P858)</f>
        <v>36720.950833030874</v>
      </c>
      <c r="R858" s="1">
        <v>203449.05179783833</v>
      </c>
      <c r="S858" s="1">
        <v>2.4949319304350917E-4</v>
      </c>
    </row>
    <row r="859" spans="1:19" x14ac:dyDescent="0.3">
      <c r="A859" s="1">
        <v>549</v>
      </c>
      <c r="B859" s="1" t="s">
        <v>4119</v>
      </c>
      <c r="C859" s="1" t="s">
        <v>4120</v>
      </c>
      <c r="D859" s="1">
        <v>0.38800000000000001</v>
      </c>
      <c r="E859" s="1" t="s">
        <v>4121</v>
      </c>
      <c r="F859" s="1" t="s">
        <v>4122</v>
      </c>
      <c r="G859" s="1">
        <v>330.88029</v>
      </c>
      <c r="H859" s="2">
        <v>911437.80533543695</v>
      </c>
      <c r="I859" s="1" t="s">
        <v>17</v>
      </c>
      <c r="J859" s="1">
        <v>331.29680000000002</v>
      </c>
      <c r="K859" s="1">
        <v>329.87302</v>
      </c>
      <c r="L859" s="7">
        <f>G859-J859</f>
        <v>-0.41651000000001659</v>
      </c>
      <c r="M859" s="1" t="s">
        <v>4123</v>
      </c>
      <c r="N859" s="2">
        <v>750552.72023630003</v>
      </c>
      <c r="O859" s="1">
        <v>343837.068851093</v>
      </c>
      <c r="P859" s="1">
        <v>413012.99932565098</v>
      </c>
      <c r="Q859" s="1">
        <f>STDEV(N859:P859)</f>
        <v>217614.33532404411</v>
      </c>
      <c r="R859" s="1">
        <v>502467.59613768134</v>
      </c>
      <c r="S859" s="1">
        <v>6.1618495566081826E-4</v>
      </c>
    </row>
    <row r="860" spans="1:19" x14ac:dyDescent="0.3">
      <c r="A860" s="1">
        <v>161</v>
      </c>
      <c r="B860" s="1" t="s">
        <v>2083</v>
      </c>
      <c r="C860" s="1" t="s">
        <v>2084</v>
      </c>
      <c r="D860" s="1">
        <v>9.9580000000000002</v>
      </c>
      <c r="E860" s="1" t="s">
        <v>2085</v>
      </c>
      <c r="F860" s="1" t="s">
        <v>2086</v>
      </c>
      <c r="G860" s="1">
        <v>552.24531999999999</v>
      </c>
      <c r="H860" s="2">
        <v>36576835.204066098</v>
      </c>
      <c r="I860" s="1" t="s">
        <v>17</v>
      </c>
      <c r="J860" s="1">
        <v>552.66333999999995</v>
      </c>
      <c r="K860" s="1">
        <v>551.23803999999996</v>
      </c>
      <c r="L860" s="7">
        <f>G860-J860</f>
        <v>-0.41801999999995587</v>
      </c>
      <c r="M860" s="1" t="s">
        <v>2087</v>
      </c>
      <c r="N860" s="2">
        <v>8389763.1577506997</v>
      </c>
      <c r="O860" s="1">
        <v>8223498.1918662302</v>
      </c>
      <c r="P860" s="1">
        <v>3712020.7760407701</v>
      </c>
      <c r="Q860" s="1">
        <f>STDEV(N860:P860)</f>
        <v>2654001.5794402813</v>
      </c>
      <c r="R860" s="1">
        <v>6775094.0418859003</v>
      </c>
      <c r="S860" s="1">
        <v>8.3084184012801945E-3</v>
      </c>
    </row>
    <row r="861" spans="1:19" x14ac:dyDescent="0.3">
      <c r="A861" s="1">
        <v>768</v>
      </c>
      <c r="B861" s="1" t="s">
        <v>1750</v>
      </c>
      <c r="C861" s="1" t="s">
        <v>1751</v>
      </c>
      <c r="D861" s="1">
        <v>13.845000000000001</v>
      </c>
      <c r="E861" s="1" t="s">
        <v>1752</v>
      </c>
      <c r="F861" s="1" t="s">
        <v>1753</v>
      </c>
      <c r="G861" s="1">
        <v>810.54624999999999</v>
      </c>
      <c r="H861" s="2">
        <v>2821300780.1360998</v>
      </c>
      <c r="I861" s="1" t="s">
        <v>23</v>
      </c>
      <c r="J861" s="1">
        <v>810.96443999999997</v>
      </c>
      <c r="K861" s="1">
        <v>811.55353000000002</v>
      </c>
      <c r="L861" s="7">
        <f>G861-J861</f>
        <v>-0.41818999999998141</v>
      </c>
      <c r="M861" s="1" t="s">
        <v>1754</v>
      </c>
      <c r="N861" s="2">
        <v>10489301.267264999</v>
      </c>
      <c r="O861" s="1">
        <v>11555685.998556901</v>
      </c>
      <c r="P861" s="1">
        <v>8057243.2876476599</v>
      </c>
      <c r="Q861" s="1">
        <f>STDEV(N861:P861)</f>
        <v>1793097.1256862995</v>
      </c>
      <c r="R861" s="1">
        <v>10034076.85115652</v>
      </c>
      <c r="S861" s="1">
        <v>1.2304967021063302E-2</v>
      </c>
    </row>
    <row r="862" spans="1:19" x14ac:dyDescent="0.3">
      <c r="A862" s="1">
        <v>95</v>
      </c>
      <c r="B862" s="1" t="s">
        <v>1135</v>
      </c>
      <c r="C862" s="1" t="s">
        <v>1136</v>
      </c>
      <c r="D862" s="1">
        <v>12.032</v>
      </c>
      <c r="E862" s="1" t="s">
        <v>1137</v>
      </c>
      <c r="F862" s="1" t="s">
        <v>1138</v>
      </c>
      <c r="G862" s="1">
        <v>690.44942000000003</v>
      </c>
      <c r="H862" s="2">
        <v>1107735383.08251</v>
      </c>
      <c r="I862" s="1" t="s">
        <v>150</v>
      </c>
      <c r="J862" s="1">
        <v>690.87019999999995</v>
      </c>
      <c r="K862" s="1">
        <v>713.43848000000003</v>
      </c>
      <c r="L862" s="7">
        <f>G862-J862</f>
        <v>-0.42077999999992244</v>
      </c>
      <c r="M862" s="1" t="s">
        <v>1139</v>
      </c>
      <c r="N862" s="2">
        <v>47944423.360053599</v>
      </c>
      <c r="O862" s="1">
        <v>30655055.2331554</v>
      </c>
      <c r="P862" s="1">
        <v>15148108.4758198</v>
      </c>
      <c r="Q862" s="1">
        <f>STDEV(N862:P862)</f>
        <v>16406228.075277075</v>
      </c>
      <c r="R862" s="1">
        <v>31249195.689676266</v>
      </c>
      <c r="S862" s="1">
        <v>3.8321444822490114E-2</v>
      </c>
    </row>
    <row r="863" spans="1:19" x14ac:dyDescent="0.3">
      <c r="A863" s="1">
        <v>63</v>
      </c>
      <c r="B863" s="1" t="s">
        <v>224</v>
      </c>
      <c r="C863" s="1" t="s">
        <v>225</v>
      </c>
      <c r="D863" s="1">
        <v>14.94</v>
      </c>
      <c r="E863" s="1" t="s">
        <v>226</v>
      </c>
      <c r="F863" s="1" t="s">
        <v>227</v>
      </c>
      <c r="G863" s="1">
        <v>616.41382999999996</v>
      </c>
      <c r="H863" s="2">
        <v>337932814.18030202</v>
      </c>
      <c r="I863" s="1" t="s">
        <v>23</v>
      </c>
      <c r="J863" s="1">
        <v>616.83471999999995</v>
      </c>
      <c r="K863" s="1">
        <v>617.42118000000005</v>
      </c>
      <c r="L863" s="7">
        <f>G863-J863</f>
        <v>-0.42088999999998578</v>
      </c>
      <c r="M863" s="1" t="s">
        <v>228</v>
      </c>
      <c r="N863" s="2">
        <v>257491819.34248099</v>
      </c>
      <c r="O863" s="1">
        <v>337932814.18030202</v>
      </c>
      <c r="P863" s="1">
        <v>213473866.742845</v>
      </c>
      <c r="Q863" s="1">
        <f>STDEV(N863:P863)</f>
        <v>63111493.140845276</v>
      </c>
      <c r="R863" s="1">
        <v>269632833.42187601</v>
      </c>
      <c r="S863" s="1">
        <v>0.33065554233518046</v>
      </c>
    </row>
    <row r="864" spans="1:19" x14ac:dyDescent="0.3">
      <c r="A864" s="1">
        <v>141</v>
      </c>
      <c r="B864" s="1" t="s">
        <v>1014</v>
      </c>
      <c r="C864" s="1" t="s">
        <v>1015</v>
      </c>
      <c r="D864" s="1">
        <v>12.286</v>
      </c>
      <c r="E864" s="1" t="s">
        <v>1016</v>
      </c>
      <c r="F864" s="1" t="s">
        <v>1017</v>
      </c>
      <c r="G864" s="1">
        <v>614.39781000000005</v>
      </c>
      <c r="H864" s="2">
        <v>731033640.10505402</v>
      </c>
      <c r="I864" s="1" t="s">
        <v>398</v>
      </c>
      <c r="J864" s="1">
        <v>614.81884000000002</v>
      </c>
      <c r="K864" s="1">
        <v>632.43167000000005</v>
      </c>
      <c r="L864" s="7">
        <f>G864-J864</f>
        <v>-0.42102999999997337</v>
      </c>
      <c r="M864" s="1" t="s">
        <v>1018</v>
      </c>
      <c r="N864" s="2">
        <v>37618628.869581603</v>
      </c>
      <c r="O864" s="1">
        <v>50400710.130123198</v>
      </c>
      <c r="P864" s="1">
        <v>33192994.435051698</v>
      </c>
      <c r="Q864" s="1">
        <f>STDEV(N864:P864)</f>
        <v>8935633.9165313561</v>
      </c>
      <c r="R864" s="1">
        <v>40404111.144918837</v>
      </c>
      <c r="S864" s="1">
        <v>4.9548280577131405E-2</v>
      </c>
    </row>
    <row r="865" spans="1:19" x14ac:dyDescent="0.3">
      <c r="A865" s="1">
        <v>868</v>
      </c>
      <c r="B865" s="1" t="s">
        <v>2555</v>
      </c>
      <c r="C865" s="1" t="s">
        <v>2556</v>
      </c>
      <c r="D865" s="1">
        <v>16.007999999999999</v>
      </c>
      <c r="E865" s="1" t="s">
        <v>2557</v>
      </c>
      <c r="F865" s="1" t="s">
        <v>2558</v>
      </c>
      <c r="G865" s="1">
        <v>426.29534000000001</v>
      </c>
      <c r="H865" s="2">
        <v>21821144.352169</v>
      </c>
      <c r="I865" s="1" t="s">
        <v>23</v>
      </c>
      <c r="J865" s="1">
        <v>426.7174</v>
      </c>
      <c r="K865" s="1">
        <v>427.30261000000002</v>
      </c>
      <c r="L865" s="7">
        <f>G865-J865</f>
        <v>-0.42205999999998767</v>
      </c>
      <c r="M865" s="1" t="s">
        <v>24</v>
      </c>
      <c r="N865" s="2">
        <v>2776995.8244038899</v>
      </c>
      <c r="O865" s="1">
        <v>3513932.8489236101</v>
      </c>
      <c r="P865" s="1">
        <v>3271281.0351823401</v>
      </c>
      <c r="Q865" s="1">
        <f>STDEV(N865:P865)</f>
        <v>375560.45905069297</v>
      </c>
      <c r="R865" s="1">
        <v>3187403.2361699468</v>
      </c>
      <c r="S865" s="1">
        <v>3.9087693153736476E-3</v>
      </c>
    </row>
    <row r="866" spans="1:19" x14ac:dyDescent="0.3">
      <c r="A866" s="1">
        <v>797</v>
      </c>
      <c r="B866" s="1" t="s">
        <v>2079</v>
      </c>
      <c r="C866" s="1" t="s">
        <v>2080</v>
      </c>
      <c r="D866" s="1">
        <v>10.964</v>
      </c>
      <c r="E866" s="1" t="s">
        <v>2081</v>
      </c>
      <c r="F866" s="1" t="s">
        <v>2082</v>
      </c>
      <c r="G866" s="1">
        <v>426.29478999999998</v>
      </c>
      <c r="H866" s="2">
        <v>7402613.5093104104</v>
      </c>
      <c r="I866" s="1" t="s">
        <v>23</v>
      </c>
      <c r="J866" s="1">
        <v>426.7174</v>
      </c>
      <c r="K866" s="1">
        <v>427.30205999999998</v>
      </c>
      <c r="L866" s="7">
        <f>G866-J866</f>
        <v>-0.42261000000002014</v>
      </c>
      <c r="M866" s="1" t="s">
        <v>24</v>
      </c>
      <c r="N866" s="2">
        <v>6322066.6826493796</v>
      </c>
      <c r="O866" s="1">
        <v>7402613.5093104104</v>
      </c>
      <c r="P866" s="1">
        <v>6602595.6970781004</v>
      </c>
      <c r="Q866" s="1">
        <f>STDEV(N866:P866)</f>
        <v>560699.93050836993</v>
      </c>
      <c r="R866" s="1">
        <v>6775758.6296792971</v>
      </c>
      <c r="S866" s="1">
        <v>8.30923339711904E-3</v>
      </c>
    </row>
    <row r="867" spans="1:19" x14ac:dyDescent="0.3">
      <c r="A867" s="1">
        <v>791</v>
      </c>
      <c r="B867" s="1" t="s">
        <v>2698</v>
      </c>
      <c r="C867" s="1" t="s">
        <v>2699</v>
      </c>
      <c r="D867" s="1">
        <v>24.719000000000001</v>
      </c>
      <c r="E867" s="1" t="s">
        <v>2700</v>
      </c>
      <c r="F867" s="1" t="s">
        <v>2701</v>
      </c>
      <c r="G867" s="1">
        <v>426.29469</v>
      </c>
      <c r="H867" s="2">
        <v>3062805.49482243</v>
      </c>
      <c r="I867" s="1" t="s">
        <v>23</v>
      </c>
      <c r="J867" s="1">
        <v>426.7174</v>
      </c>
      <c r="K867" s="1">
        <v>427.30196999999998</v>
      </c>
      <c r="L867" s="7">
        <f>G867-J867</f>
        <v>-0.42270999999999503</v>
      </c>
      <c r="M867" s="1" t="s">
        <v>24</v>
      </c>
      <c r="N867" s="2">
        <v>2554773.8987374501</v>
      </c>
      <c r="O867" s="1">
        <v>2620105.7613306702</v>
      </c>
      <c r="P867" s="1">
        <v>3062805.49482243</v>
      </c>
      <c r="Q867" s="1">
        <f>STDEV(N867:P867)</f>
        <v>276389.64311403647</v>
      </c>
      <c r="R867" s="1">
        <v>2745895.0516301836</v>
      </c>
      <c r="S867" s="1">
        <v>3.3673399710623035E-3</v>
      </c>
    </row>
    <row r="868" spans="1:19" x14ac:dyDescent="0.3">
      <c r="A868" s="1">
        <v>264</v>
      </c>
      <c r="B868" s="1" t="s">
        <v>3704</v>
      </c>
      <c r="C868" s="1" t="s">
        <v>3705</v>
      </c>
      <c r="D868" s="1">
        <v>9.0239999999999991</v>
      </c>
      <c r="E868" s="1" t="s">
        <v>3706</v>
      </c>
      <c r="F868" s="1" t="s">
        <v>3707</v>
      </c>
      <c r="G868" s="1">
        <v>421.14742999999999</v>
      </c>
      <c r="H868" s="2">
        <v>1655985.99486936</v>
      </c>
      <c r="I868" s="1" t="s">
        <v>23</v>
      </c>
      <c r="J868" s="1">
        <v>421.57015999999999</v>
      </c>
      <c r="K868" s="1">
        <v>422.15469999999999</v>
      </c>
      <c r="L868" s="7">
        <f>G868-J868</f>
        <v>-0.42273000000000138</v>
      </c>
      <c r="M868" s="1" t="s">
        <v>3708</v>
      </c>
      <c r="N868" s="2">
        <v>1655985.99486936</v>
      </c>
      <c r="O868" s="1">
        <v>441718.06216210499</v>
      </c>
      <c r="P868" s="1">
        <v>470462.66745889699</v>
      </c>
      <c r="Q868" s="1">
        <f>STDEV(N868:P868)</f>
        <v>692909.13600668625</v>
      </c>
      <c r="R868" s="1">
        <v>856055.57483012055</v>
      </c>
      <c r="S868" s="1">
        <v>1.0497961868079484E-3</v>
      </c>
    </row>
    <row r="869" spans="1:19" x14ac:dyDescent="0.3">
      <c r="A869" s="1">
        <v>423</v>
      </c>
      <c r="B869" s="1" t="s">
        <v>2495</v>
      </c>
      <c r="C869" s="1" t="s">
        <v>2496</v>
      </c>
      <c r="D869" s="1">
        <v>6.875</v>
      </c>
      <c r="E869" s="1" t="s">
        <v>2497</v>
      </c>
      <c r="F869" s="1" t="s">
        <v>2498</v>
      </c>
      <c r="G869" s="1">
        <v>480.17189000000002</v>
      </c>
      <c r="H869" s="2">
        <v>4994592.8979695104</v>
      </c>
      <c r="I869" s="1" t="s">
        <v>17</v>
      </c>
      <c r="J869" s="1">
        <v>480.59584000000001</v>
      </c>
      <c r="K869" s="1">
        <v>479.16462000000001</v>
      </c>
      <c r="L869" s="7">
        <f>G869-J869</f>
        <v>-0.42394999999999072</v>
      </c>
      <c r="M869" s="1" t="s">
        <v>2499</v>
      </c>
      <c r="N869" s="2">
        <v>2704799.7164422502</v>
      </c>
      <c r="O869" s="1">
        <v>3077967.1658469602</v>
      </c>
      <c r="P869" s="1">
        <v>4994592.8979695104</v>
      </c>
      <c r="Q869" s="1">
        <f>STDEV(N869:P869)</f>
        <v>1228539.8485260359</v>
      </c>
      <c r="R869" s="1">
        <v>3592453.2600862402</v>
      </c>
      <c r="S869" s="1">
        <v>4.4054893684591914E-3</v>
      </c>
    </row>
    <row r="870" spans="1:19" x14ac:dyDescent="0.3">
      <c r="A870" s="1">
        <v>952</v>
      </c>
      <c r="B870" s="1" t="s">
        <v>2753</v>
      </c>
      <c r="C870" s="1" t="s">
        <v>2754</v>
      </c>
      <c r="D870" s="1">
        <v>10.151999999999999</v>
      </c>
      <c r="E870" s="1" t="s">
        <v>2755</v>
      </c>
      <c r="F870" s="1" t="s">
        <v>2756</v>
      </c>
      <c r="G870" s="1">
        <v>416.25393000000003</v>
      </c>
      <c r="H870" s="2">
        <v>4678123.3155646296</v>
      </c>
      <c r="I870" s="1" t="s">
        <v>139</v>
      </c>
      <c r="J870" s="1">
        <v>416.67952000000002</v>
      </c>
      <c r="K870" s="1">
        <v>461.25214</v>
      </c>
      <c r="L870" s="7">
        <f>G870-J870</f>
        <v>-0.42558999999999969</v>
      </c>
      <c r="M870" s="1" t="s">
        <v>2757</v>
      </c>
      <c r="N870" s="2">
        <v>4678123.3155646296</v>
      </c>
      <c r="O870" s="1">
        <v>2130401.92556248</v>
      </c>
      <c r="P870" s="1">
        <v>939503.08828281402</v>
      </c>
      <c r="Q870" s="1">
        <f>STDEV(N870:P870)</f>
        <v>1909904.2526415335</v>
      </c>
      <c r="R870" s="1">
        <v>2582676.1098033078</v>
      </c>
      <c r="S870" s="1">
        <v>3.1671816778595686E-3</v>
      </c>
    </row>
    <row r="871" spans="1:19" x14ac:dyDescent="0.3">
      <c r="A871" s="1">
        <v>346</v>
      </c>
      <c r="B871" s="1" t="s">
        <v>2628</v>
      </c>
      <c r="C871" s="1" t="s">
        <v>2629</v>
      </c>
      <c r="D871" s="1">
        <v>1.524</v>
      </c>
      <c r="E871" s="1" t="s">
        <v>2630</v>
      </c>
      <c r="F871" s="1" t="s">
        <v>2631</v>
      </c>
      <c r="G871" s="1">
        <v>317.08553999999998</v>
      </c>
      <c r="H871" s="2">
        <v>18993436.121406399</v>
      </c>
      <c r="I871" s="1" t="s">
        <v>17</v>
      </c>
      <c r="J871" s="1">
        <v>317.512</v>
      </c>
      <c r="K871" s="1">
        <v>316.07839999999999</v>
      </c>
      <c r="L871" s="7">
        <f>G871-J871</f>
        <v>-0.42646000000002005</v>
      </c>
      <c r="M871" s="1" t="s">
        <v>2632</v>
      </c>
      <c r="N871" s="2">
        <v>3272391.97123252</v>
      </c>
      <c r="O871" s="1">
        <v>1415843.1315866399</v>
      </c>
      <c r="P871" s="1">
        <v>3975529.1736474</v>
      </c>
      <c r="Q871" s="1">
        <f>STDEV(N871:P871)</f>
        <v>1322445.2196172422</v>
      </c>
      <c r="R871" s="1">
        <v>2887921.4254888534</v>
      </c>
      <c r="S871" s="1">
        <v>3.5415094409972188E-3</v>
      </c>
    </row>
    <row r="872" spans="1:19" x14ac:dyDescent="0.3">
      <c r="A872" s="1">
        <v>943</v>
      </c>
      <c r="B872" s="1" t="s">
        <v>307</v>
      </c>
      <c r="C872" s="1" t="s">
        <v>308</v>
      </c>
      <c r="D872" s="1">
        <v>0.63600000000000001</v>
      </c>
      <c r="E872" s="1" t="s">
        <v>309</v>
      </c>
      <c r="F872" s="1" t="s">
        <v>310</v>
      </c>
      <c r="G872" s="1">
        <v>418.26645000000002</v>
      </c>
      <c r="H872" s="2">
        <v>525070407.81564099</v>
      </c>
      <c r="I872" s="1" t="s">
        <v>23</v>
      </c>
      <c r="J872" s="1">
        <v>418.69540000000001</v>
      </c>
      <c r="K872" s="1">
        <v>419.27373</v>
      </c>
      <c r="L872" s="7">
        <f>G872-J872</f>
        <v>-0.42894999999998618</v>
      </c>
      <c r="M872" s="1" t="s">
        <v>311</v>
      </c>
      <c r="N872" s="2">
        <v>4790589.5062182304</v>
      </c>
      <c r="O872" s="1">
        <v>121799093.611605</v>
      </c>
      <c r="P872" s="1">
        <v>420150031.05442399</v>
      </c>
      <c r="Q872" s="1">
        <f>STDEV(N872:P872)</f>
        <v>214175838.03548998</v>
      </c>
      <c r="R872" s="1">
        <v>182246571.39074907</v>
      </c>
      <c r="S872" s="1">
        <v>0.22349221397547422</v>
      </c>
    </row>
    <row r="873" spans="1:19" x14ac:dyDescent="0.3">
      <c r="A873" s="1">
        <v>159</v>
      </c>
      <c r="B873" s="1" t="s">
        <v>4167</v>
      </c>
      <c r="C873" s="1" t="s">
        <v>4168</v>
      </c>
      <c r="D873" s="1">
        <v>10.455</v>
      </c>
      <c r="E873" s="1" t="s">
        <v>4169</v>
      </c>
      <c r="F873" s="1" t="s">
        <v>4170</v>
      </c>
      <c r="G873" s="1">
        <v>665.39140999999995</v>
      </c>
      <c r="H873" s="2">
        <v>1609291.3778794999</v>
      </c>
      <c r="I873" s="1" t="s">
        <v>23</v>
      </c>
      <c r="J873" s="1">
        <v>665.82097999999996</v>
      </c>
      <c r="K873" s="1">
        <v>666.39868000000001</v>
      </c>
      <c r="L873" s="7">
        <f>G873-J873</f>
        <v>-0.42957000000001244</v>
      </c>
      <c r="M873" s="1" t="s">
        <v>4171</v>
      </c>
      <c r="N873" s="2">
        <v>417708.95571452897</v>
      </c>
      <c r="O873" s="1">
        <v>457002.102822177</v>
      </c>
      <c r="P873" s="1">
        <v>492858.976141694</v>
      </c>
      <c r="Q873" s="1">
        <f>STDEV(N873:P873)</f>
        <v>37588.101716896352</v>
      </c>
      <c r="R873" s="1">
        <v>455856.67822613334</v>
      </c>
      <c r="S873" s="1">
        <v>5.5902515748197722E-4</v>
      </c>
    </row>
    <row r="874" spans="1:19" x14ac:dyDescent="0.3">
      <c r="A874" s="1">
        <v>257</v>
      </c>
      <c r="B874" s="1" t="s">
        <v>3839</v>
      </c>
      <c r="C874" s="1" t="s">
        <v>3840</v>
      </c>
      <c r="D874" s="1">
        <v>11.227</v>
      </c>
      <c r="E874" s="1" t="s">
        <v>3841</v>
      </c>
      <c r="F874" s="1" t="s">
        <v>3842</v>
      </c>
      <c r="G874" s="1">
        <v>714.41233</v>
      </c>
      <c r="H874" s="2">
        <v>39299075.690456301</v>
      </c>
      <c r="I874" s="1" t="s">
        <v>23</v>
      </c>
      <c r="J874" s="1">
        <v>714.84216000000004</v>
      </c>
      <c r="K874" s="1">
        <v>715.41967999999997</v>
      </c>
      <c r="L874" s="7">
        <f>G874-J874</f>
        <v>-0.42983000000003813</v>
      </c>
      <c r="M874" s="1" t="s">
        <v>3843</v>
      </c>
      <c r="N874" s="2">
        <v>1393044.2665303401</v>
      </c>
      <c r="O874" s="1">
        <v>467861.81678821601</v>
      </c>
      <c r="P874" s="1">
        <v>310235.27895703801</v>
      </c>
      <c r="Q874" s="1">
        <f>STDEV(N874:P874)</f>
        <v>584990.59740435146</v>
      </c>
      <c r="R874" s="1">
        <v>723713.78742519813</v>
      </c>
      <c r="S874" s="1">
        <v>8.8750309759980204E-4</v>
      </c>
    </row>
    <row r="875" spans="1:19" x14ac:dyDescent="0.3">
      <c r="A875" s="1">
        <v>172</v>
      </c>
      <c r="B875" s="1" t="s">
        <v>4349</v>
      </c>
      <c r="C875" s="1" t="s">
        <v>4350</v>
      </c>
      <c r="D875" s="1">
        <v>6.4080000000000004</v>
      </c>
      <c r="E875" s="1" t="s">
        <v>4351</v>
      </c>
      <c r="F875" s="1" t="s">
        <v>4352</v>
      </c>
      <c r="G875" s="1">
        <v>428.09298999999999</v>
      </c>
      <c r="H875" s="2">
        <v>413110.31334034598</v>
      </c>
      <c r="I875" s="1" t="s">
        <v>17</v>
      </c>
      <c r="J875" s="1">
        <v>428.52458000000001</v>
      </c>
      <c r="K875" s="1">
        <v>427.08542</v>
      </c>
      <c r="L875" s="7">
        <f>G875-J875</f>
        <v>-0.43159000000002834</v>
      </c>
      <c r="M875" s="1" t="s">
        <v>24</v>
      </c>
      <c r="N875" s="2">
        <v>289843.55197803502</v>
      </c>
      <c r="O875" s="1">
        <v>413110.31334034598</v>
      </c>
      <c r="P875" s="1">
        <v>132114.240856305</v>
      </c>
      <c r="Q875" s="1">
        <f>STDEV(N875:P875)</f>
        <v>140849.81528513791</v>
      </c>
      <c r="R875" s="1">
        <v>278356.03539156198</v>
      </c>
      <c r="S875" s="1">
        <v>3.4135296015919169E-4</v>
      </c>
    </row>
    <row r="876" spans="1:19" x14ac:dyDescent="0.3">
      <c r="A876" s="1">
        <v>52</v>
      </c>
      <c r="B876" s="1" t="s">
        <v>1822</v>
      </c>
      <c r="C876" s="1" t="s">
        <v>1823</v>
      </c>
      <c r="D876" s="1">
        <v>11.16</v>
      </c>
      <c r="E876" s="1" t="s">
        <v>1824</v>
      </c>
      <c r="F876" s="1" t="s">
        <v>1825</v>
      </c>
      <c r="G876" s="1">
        <v>494.28170999999998</v>
      </c>
      <c r="H876" s="2">
        <v>43297805.809847899</v>
      </c>
      <c r="I876" s="1" t="s">
        <v>23</v>
      </c>
      <c r="J876" s="1">
        <v>494.71337999999997</v>
      </c>
      <c r="K876" s="1">
        <v>495.28892000000002</v>
      </c>
      <c r="L876" s="7">
        <f>G876-J876</f>
        <v>-0.43166999999999689</v>
      </c>
      <c r="M876" s="1" t="s">
        <v>1826</v>
      </c>
      <c r="N876" s="2">
        <v>19648585.3442236</v>
      </c>
      <c r="O876" s="1">
        <v>6471750.38761447</v>
      </c>
      <c r="P876" s="1">
        <v>1934937.2861061599</v>
      </c>
      <c r="Q876" s="1">
        <f>STDEV(N876:P876)</f>
        <v>9201313.1319989823</v>
      </c>
      <c r="R876" s="1">
        <v>9351757.6726480778</v>
      </c>
      <c r="S876" s="1">
        <v>1.1468226869086324E-2</v>
      </c>
    </row>
    <row r="877" spans="1:19" x14ac:dyDescent="0.3">
      <c r="A877" s="1">
        <v>150</v>
      </c>
      <c r="B877" s="1" t="s">
        <v>379</v>
      </c>
      <c r="C877" s="1" t="s">
        <v>380</v>
      </c>
      <c r="D877" s="1">
        <v>14.622</v>
      </c>
      <c r="E877" s="1" t="s">
        <v>381</v>
      </c>
      <c r="F877" s="1" t="s">
        <v>382</v>
      </c>
      <c r="G877" s="1">
        <v>704.46510999999998</v>
      </c>
      <c r="H877" s="2">
        <v>244565799.40323099</v>
      </c>
      <c r="I877" s="1" t="s">
        <v>23</v>
      </c>
      <c r="J877" s="1">
        <v>704.89678000000004</v>
      </c>
      <c r="K877" s="1">
        <v>705.47238000000004</v>
      </c>
      <c r="L877" s="7">
        <f>G877-J877</f>
        <v>-0.43167000000005373</v>
      </c>
      <c r="M877" s="1" t="s">
        <v>383</v>
      </c>
      <c r="N877" s="2">
        <v>244565799.40323099</v>
      </c>
      <c r="O877" s="1">
        <v>150545316.33980599</v>
      </c>
      <c r="P877" s="1">
        <v>43561170.912582703</v>
      </c>
      <c r="Q877" s="1">
        <f>STDEV(N877:P877)</f>
        <v>100571963.69013302</v>
      </c>
      <c r="R877" s="1">
        <v>146224095.55187324</v>
      </c>
      <c r="S877" s="1">
        <v>0.17931721075499091</v>
      </c>
    </row>
    <row r="878" spans="1:19" x14ac:dyDescent="0.3">
      <c r="A878" s="1">
        <v>705</v>
      </c>
      <c r="B878" s="1" t="s">
        <v>4022</v>
      </c>
      <c r="C878" s="1" t="s">
        <v>4023</v>
      </c>
      <c r="D878" s="1">
        <v>11.084</v>
      </c>
      <c r="E878" s="1" t="s">
        <v>4024</v>
      </c>
      <c r="F878" s="1" t="s">
        <v>4025</v>
      </c>
      <c r="G878" s="1">
        <v>528.07352000000003</v>
      </c>
      <c r="H878" s="2">
        <v>1309634.2700551299</v>
      </c>
      <c r="I878" s="1" t="s">
        <v>17</v>
      </c>
      <c r="J878" s="1">
        <v>528.50616000000002</v>
      </c>
      <c r="K878" s="1">
        <v>527.06623999999999</v>
      </c>
      <c r="L878" s="7">
        <f>G878-J878</f>
        <v>-0.43263999999999214</v>
      </c>
      <c r="M878" s="1" t="s">
        <v>24</v>
      </c>
      <c r="N878" s="2">
        <v>57849.636441698298</v>
      </c>
      <c r="O878" s="1">
        <v>418268.81462126801</v>
      </c>
      <c r="P878" s="1">
        <v>1309634.2700551299</v>
      </c>
      <c r="Q878" s="1">
        <f>STDEV(N878:P878)</f>
        <v>644385.89991960127</v>
      </c>
      <c r="R878" s="1">
        <v>595250.90703936538</v>
      </c>
      <c r="S878" s="1">
        <v>7.2996678110285619E-4</v>
      </c>
    </row>
    <row r="879" spans="1:19" x14ac:dyDescent="0.3">
      <c r="A879" s="1">
        <v>950</v>
      </c>
      <c r="B879" s="1" t="s">
        <v>1458</v>
      </c>
      <c r="C879" s="1" t="s">
        <v>1459</v>
      </c>
      <c r="D879" s="1">
        <v>12.005000000000001</v>
      </c>
      <c r="E879" s="1" t="s">
        <v>1460</v>
      </c>
      <c r="F879" s="1" t="s">
        <v>1461</v>
      </c>
      <c r="G879" s="1">
        <v>434.26139000000001</v>
      </c>
      <c r="H879" s="2">
        <v>33112463.407161299</v>
      </c>
      <c r="I879" s="1" t="s">
        <v>23</v>
      </c>
      <c r="J879" s="1">
        <v>434.69479999999999</v>
      </c>
      <c r="K879" s="1">
        <v>435.26866999999999</v>
      </c>
      <c r="L879" s="7">
        <f>G879-J879</f>
        <v>-0.43340999999998076</v>
      </c>
      <c r="M879" s="1" t="s">
        <v>1462</v>
      </c>
      <c r="N879" s="2">
        <v>24208890.780461699</v>
      </c>
      <c r="O879" s="1">
        <v>18542589.1083568</v>
      </c>
      <c r="P879" s="1">
        <v>6210205.92104463</v>
      </c>
      <c r="Q879" s="1">
        <f>STDEV(N879:P879)</f>
        <v>9202783.1513679195</v>
      </c>
      <c r="R879" s="1">
        <v>16320561.936621046</v>
      </c>
      <c r="S879" s="1">
        <v>2.0014195563211792E-2</v>
      </c>
    </row>
    <row r="880" spans="1:19" x14ac:dyDescent="0.3">
      <c r="A880" s="1">
        <v>877</v>
      </c>
      <c r="B880" s="1" t="s">
        <v>4290</v>
      </c>
      <c r="C880" s="1" t="s">
        <v>4291</v>
      </c>
      <c r="D880" s="1">
        <v>13.744</v>
      </c>
      <c r="E880" s="1" t="s">
        <v>4292</v>
      </c>
      <c r="F880" s="1" t="s">
        <v>4293</v>
      </c>
      <c r="G880" s="1">
        <v>470.33647000000002</v>
      </c>
      <c r="H880" s="2">
        <v>95872380.604843095</v>
      </c>
      <c r="I880" s="1" t="s">
        <v>17</v>
      </c>
      <c r="J880" s="1">
        <v>470.76996000000003</v>
      </c>
      <c r="K880" s="1">
        <v>469.32918999999998</v>
      </c>
      <c r="L880" s="7">
        <f>G880-J880</f>
        <v>-0.43349000000000615</v>
      </c>
      <c r="M880" s="1" t="s">
        <v>4294</v>
      </c>
      <c r="N880" s="2">
        <v>277298.71680808801</v>
      </c>
      <c r="O880" s="1">
        <v>437997.49400697701</v>
      </c>
      <c r="P880" s="1">
        <v>269073.44861794898</v>
      </c>
      <c r="Q880" s="1">
        <f>STDEV(N880:P880)</f>
        <v>95242.747003479002</v>
      </c>
      <c r="R880" s="1">
        <v>328123.21981100464</v>
      </c>
      <c r="S880" s="1">
        <v>4.0238334412937568E-4</v>
      </c>
    </row>
    <row r="881" spans="1:19" x14ac:dyDescent="0.3">
      <c r="A881" s="1">
        <v>734</v>
      </c>
      <c r="B881" s="1" t="s">
        <v>1909</v>
      </c>
      <c r="C881" s="1" t="s">
        <v>1910</v>
      </c>
      <c r="D881" s="1">
        <v>1.0820000000000001</v>
      </c>
      <c r="E881" s="1" t="s">
        <v>1911</v>
      </c>
      <c r="F881" s="1" t="s">
        <v>1912</v>
      </c>
      <c r="G881" s="1">
        <v>352.07405</v>
      </c>
      <c r="H881" s="2">
        <v>17571530.8085788</v>
      </c>
      <c r="I881" s="1" t="s">
        <v>23</v>
      </c>
      <c r="J881" s="1">
        <v>352.50814000000003</v>
      </c>
      <c r="K881" s="1">
        <v>353.08132000000001</v>
      </c>
      <c r="L881" s="7">
        <f>G881-J881</f>
        <v>-0.43409000000002607</v>
      </c>
      <c r="M881" s="1" t="s">
        <v>1913</v>
      </c>
      <c r="N881" s="2">
        <v>1052674.3590299999</v>
      </c>
      <c r="O881" s="1">
        <v>17571530.8085788</v>
      </c>
      <c r="P881" s="1">
        <v>6025382.7748814002</v>
      </c>
      <c r="Q881" s="1">
        <f>STDEV(N881:P881)</f>
        <v>8474608.9566218685</v>
      </c>
      <c r="R881" s="1">
        <v>8216529.3141634008</v>
      </c>
      <c r="S881" s="1">
        <v>1.0076076129188439E-2</v>
      </c>
    </row>
    <row r="882" spans="1:19" x14ac:dyDescent="0.3">
      <c r="A882" s="1">
        <v>945</v>
      </c>
      <c r="B882" s="1" t="s">
        <v>2993</v>
      </c>
      <c r="C882" s="1" t="s">
        <v>2994</v>
      </c>
      <c r="D882" s="1">
        <v>11.994999999999999</v>
      </c>
      <c r="E882" s="1" t="s">
        <v>2995</v>
      </c>
      <c r="F882" s="1" t="s">
        <v>2996</v>
      </c>
      <c r="G882" s="1">
        <v>432.24473999999998</v>
      </c>
      <c r="H882" s="2">
        <v>5815353.8629667703</v>
      </c>
      <c r="I882" s="1" t="s">
        <v>23</v>
      </c>
      <c r="J882" s="1">
        <v>432.67892000000001</v>
      </c>
      <c r="K882" s="1">
        <v>433.25200999999998</v>
      </c>
      <c r="L882" s="7">
        <f>G882-J882</f>
        <v>-0.43418000000002621</v>
      </c>
      <c r="M882" s="1" t="s">
        <v>24</v>
      </c>
      <c r="N882" s="2">
        <v>1848580.92968412</v>
      </c>
      <c r="O882" s="1">
        <v>2075064.6664132799</v>
      </c>
      <c r="P882" s="1">
        <v>1940640.2127213699</v>
      </c>
      <c r="Q882" s="1">
        <f>STDEV(N882:P882)</f>
        <v>113900.3426586186</v>
      </c>
      <c r="R882" s="1">
        <v>1954761.9362729231</v>
      </c>
      <c r="S882" s="1">
        <v>2.3971593517440322E-3</v>
      </c>
    </row>
    <row r="883" spans="1:19" x14ac:dyDescent="0.3">
      <c r="A883" s="1">
        <v>804</v>
      </c>
      <c r="B883" s="1" t="s">
        <v>2325</v>
      </c>
      <c r="C883" s="1" t="s">
        <v>2326</v>
      </c>
      <c r="D883" s="1">
        <v>10.795999999999999</v>
      </c>
      <c r="E883" s="1" t="s">
        <v>2327</v>
      </c>
      <c r="F883" s="1" t="s">
        <v>2328</v>
      </c>
      <c r="G883" s="1">
        <v>412.25554</v>
      </c>
      <c r="H883" s="2">
        <v>14259286.524870601</v>
      </c>
      <c r="I883" s="1" t="s">
        <v>23</v>
      </c>
      <c r="J883" s="1">
        <v>412.69081999999997</v>
      </c>
      <c r="K883" s="1">
        <v>413.26281999999998</v>
      </c>
      <c r="L883" s="7">
        <f>G883-J883</f>
        <v>-0.43527999999997746</v>
      </c>
      <c r="M883" s="1" t="s">
        <v>2329</v>
      </c>
      <c r="N883" s="2">
        <v>9827552.9878622107</v>
      </c>
      <c r="O883" s="1">
        <v>2813254.3293025899</v>
      </c>
      <c r="P883" s="1">
        <v>1515944.0767264201</v>
      </c>
      <c r="Q883" s="1">
        <f>STDEV(N883:P883)</f>
        <v>4471506.8723079329</v>
      </c>
      <c r="R883" s="1">
        <v>4718917.1312970733</v>
      </c>
      <c r="S883" s="1">
        <v>5.7868920616298124E-3</v>
      </c>
    </row>
    <row r="884" spans="1:19" x14ac:dyDescent="0.3">
      <c r="A884" s="1">
        <v>219</v>
      </c>
      <c r="B884" s="1" t="s">
        <v>533</v>
      </c>
      <c r="C884" s="1" t="s">
        <v>534</v>
      </c>
      <c r="D884" s="1">
        <v>7.6890000000000001</v>
      </c>
      <c r="E884" s="1" t="s">
        <v>535</v>
      </c>
      <c r="F884" s="1" t="s">
        <v>536</v>
      </c>
      <c r="G884" s="1">
        <v>700.38009</v>
      </c>
      <c r="H884" s="2">
        <v>323538459.23453301</v>
      </c>
      <c r="I884" s="1" t="s">
        <v>290</v>
      </c>
      <c r="J884" s="1">
        <v>700.81557999999995</v>
      </c>
      <c r="K884" s="1">
        <v>351.19747999999998</v>
      </c>
      <c r="L884" s="7">
        <f>G884-J884</f>
        <v>-0.43548999999995885</v>
      </c>
      <c r="M884" s="1" t="s">
        <v>537</v>
      </c>
      <c r="N884" s="2">
        <v>106606777.074002</v>
      </c>
      <c r="O884" s="1">
        <v>94111839.797214493</v>
      </c>
      <c r="P884" s="1">
        <v>91934241.160986096</v>
      </c>
      <c r="Q884" s="1">
        <f>STDEV(N884:P884)</f>
        <v>7917793.2899061712</v>
      </c>
      <c r="R884" s="1">
        <v>97550952.677400872</v>
      </c>
      <c r="S884" s="1">
        <v>0.11962846940228207</v>
      </c>
    </row>
    <row r="885" spans="1:19" x14ac:dyDescent="0.3">
      <c r="A885" s="1">
        <v>807</v>
      </c>
      <c r="B885" s="1" t="s">
        <v>229</v>
      </c>
      <c r="C885" s="1" t="s">
        <v>230</v>
      </c>
      <c r="D885" s="1">
        <v>11.266999999999999</v>
      </c>
      <c r="E885" s="1" t="s">
        <v>231</v>
      </c>
      <c r="F885" s="1" t="s">
        <v>232</v>
      </c>
      <c r="G885" s="1">
        <v>414.27109000000002</v>
      </c>
      <c r="H885" s="2">
        <v>743905125.67023802</v>
      </c>
      <c r="I885" s="1" t="s">
        <v>23</v>
      </c>
      <c r="J885" s="1">
        <v>414.70670000000001</v>
      </c>
      <c r="K885" s="1">
        <v>415.27836000000002</v>
      </c>
      <c r="L885" s="7">
        <f>G885-J885</f>
        <v>-0.43560999999999694</v>
      </c>
      <c r="M885" s="1" t="s">
        <v>233</v>
      </c>
      <c r="N885" s="2">
        <v>456134339.463184</v>
      </c>
      <c r="O885" s="1">
        <v>272621800.47051603</v>
      </c>
      <c r="P885" s="1">
        <v>79912322.830440596</v>
      </c>
      <c r="Q885" s="1">
        <f>STDEV(N885:P885)</f>
        <v>188129742.70391804</v>
      </c>
      <c r="R885" s="1">
        <v>269556154.25471359</v>
      </c>
      <c r="S885" s="1">
        <v>0.33056150930781458</v>
      </c>
    </row>
    <row r="886" spans="1:19" x14ac:dyDescent="0.3">
      <c r="A886" s="1">
        <v>806</v>
      </c>
      <c r="B886" s="1" t="s">
        <v>1561</v>
      </c>
      <c r="C886" s="1" t="s">
        <v>1562</v>
      </c>
      <c r="D886" s="1">
        <v>12.221</v>
      </c>
      <c r="E886" s="1" t="s">
        <v>1563</v>
      </c>
      <c r="F886" s="1" t="s">
        <v>1564</v>
      </c>
      <c r="G886" s="1">
        <v>414.27104000000003</v>
      </c>
      <c r="H886" s="2">
        <v>669519267.32225299</v>
      </c>
      <c r="I886" s="1" t="s">
        <v>23</v>
      </c>
      <c r="J886" s="1">
        <v>414.70670000000001</v>
      </c>
      <c r="K886" s="1">
        <v>415.27832000000001</v>
      </c>
      <c r="L886" s="7">
        <f>G886-J886</f>
        <v>-0.43565999999998439</v>
      </c>
      <c r="M886" s="1" t="s">
        <v>1565</v>
      </c>
      <c r="N886" s="2">
        <v>26468338.452137802</v>
      </c>
      <c r="O886" s="1">
        <v>11530957.5241108</v>
      </c>
      <c r="P886" s="1">
        <v>4287515.1252377098</v>
      </c>
      <c r="Q886" s="1">
        <f>STDEV(N886:P886)</f>
        <v>11310627.231604891</v>
      </c>
      <c r="R886" s="1">
        <v>14095603.700495437</v>
      </c>
      <c r="S886" s="1">
        <v>1.7285689680220352E-2</v>
      </c>
    </row>
    <row r="887" spans="1:19" x14ac:dyDescent="0.3">
      <c r="A887" s="1">
        <v>361</v>
      </c>
      <c r="B887" s="1" t="s">
        <v>2276</v>
      </c>
      <c r="C887" s="1" t="s">
        <v>2277</v>
      </c>
      <c r="D887" s="1">
        <v>21.706</v>
      </c>
      <c r="E887" s="1" t="s">
        <v>2278</v>
      </c>
      <c r="F887" s="1" t="s">
        <v>2279</v>
      </c>
      <c r="G887" s="1">
        <v>345.12596000000002</v>
      </c>
      <c r="H887" s="2">
        <v>56685313.095970199</v>
      </c>
      <c r="I887" s="1" t="s">
        <v>23</v>
      </c>
      <c r="J887" s="1">
        <v>345.56186000000002</v>
      </c>
      <c r="K887" s="1">
        <v>346.13324</v>
      </c>
      <c r="L887" s="7">
        <f>G887-J887</f>
        <v>-0.43590000000000373</v>
      </c>
      <c r="M887" s="1" t="s">
        <v>24</v>
      </c>
      <c r="N887" s="2">
        <v>9751340.4197041597</v>
      </c>
      <c r="O887" s="1">
        <v>3912584.4352509798</v>
      </c>
      <c r="P887" s="1">
        <v>1222295.9188562599</v>
      </c>
      <c r="Q887" s="1">
        <f>STDEV(N887:P887)</f>
        <v>4360300.5218462665</v>
      </c>
      <c r="R887" s="1">
        <v>4962073.5912704663</v>
      </c>
      <c r="S887" s="1">
        <v>6.0850791559997584E-3</v>
      </c>
    </row>
    <row r="888" spans="1:19" x14ac:dyDescent="0.3">
      <c r="A888" s="1">
        <v>368</v>
      </c>
      <c r="B888" s="1" t="s">
        <v>3026</v>
      </c>
      <c r="C888" s="1" t="s">
        <v>3027</v>
      </c>
      <c r="D888" s="1">
        <v>11.699</v>
      </c>
      <c r="E888" s="1" t="s">
        <v>3028</v>
      </c>
      <c r="F888" s="1" t="s">
        <v>3029</v>
      </c>
      <c r="G888" s="1">
        <v>432.24507</v>
      </c>
      <c r="H888" s="2">
        <v>3598586.5938452999</v>
      </c>
      <c r="I888" s="1" t="s">
        <v>23</v>
      </c>
      <c r="J888" s="1">
        <v>432.68221999999997</v>
      </c>
      <c r="K888" s="1">
        <v>433.25234999999998</v>
      </c>
      <c r="L888" s="7">
        <f>G888-J888</f>
        <v>-0.43714999999997417</v>
      </c>
      <c r="M888" s="1" t="s">
        <v>24</v>
      </c>
      <c r="N888" s="2">
        <v>1730577.76312874</v>
      </c>
      <c r="O888" s="1">
        <v>2699380.7087664902</v>
      </c>
      <c r="P888" s="1">
        <v>1234882.8958837199</v>
      </c>
      <c r="Q888" s="1">
        <f>STDEV(N888:P888)</f>
        <v>744876.54377843754</v>
      </c>
      <c r="R888" s="1">
        <v>1888280.4559263166</v>
      </c>
      <c r="S888" s="1">
        <v>2.3156319292106705E-3</v>
      </c>
    </row>
    <row r="889" spans="1:19" x14ac:dyDescent="0.3">
      <c r="A889" s="1">
        <v>863</v>
      </c>
      <c r="B889" s="1" t="s">
        <v>4185</v>
      </c>
      <c r="C889" s="1" t="s">
        <v>4186</v>
      </c>
      <c r="D889" s="1">
        <v>11.73</v>
      </c>
      <c r="E889" s="1" t="s">
        <v>4187</v>
      </c>
      <c r="F889" s="1" t="s">
        <v>4188</v>
      </c>
      <c r="G889" s="1">
        <v>562.38616000000002</v>
      </c>
      <c r="H889" s="2">
        <v>23974136.575466599</v>
      </c>
      <c r="I889" s="1" t="s">
        <v>23</v>
      </c>
      <c r="J889" s="1">
        <v>562.82380000000001</v>
      </c>
      <c r="K889" s="1">
        <v>563.39342999999997</v>
      </c>
      <c r="L889" s="7">
        <f>G889-J889</f>
        <v>-0.43763999999998759</v>
      </c>
      <c r="M889" s="1" t="s">
        <v>4189</v>
      </c>
      <c r="N889" s="2">
        <v>407199.36607453797</v>
      </c>
      <c r="O889" s="1">
        <v>408880.619070641</v>
      </c>
      <c r="P889" s="1">
        <v>467064.32531587197</v>
      </c>
      <c r="Q889" s="1">
        <f>STDEV(N889:P889)</f>
        <v>34088.081076907263</v>
      </c>
      <c r="R889" s="1">
        <v>427714.77015368361</v>
      </c>
      <c r="S889" s="1">
        <v>5.2451423476551672E-4</v>
      </c>
    </row>
    <row r="890" spans="1:19" x14ac:dyDescent="0.3">
      <c r="A890" s="1">
        <v>218</v>
      </c>
      <c r="B890" s="1" t="s">
        <v>3791</v>
      </c>
      <c r="C890" s="1" t="s">
        <v>3792</v>
      </c>
      <c r="D890" s="1">
        <v>10.472</v>
      </c>
      <c r="E890" s="1" t="s">
        <v>3793</v>
      </c>
      <c r="F890" s="1" t="s">
        <v>3794</v>
      </c>
      <c r="G890" s="1">
        <v>363.05052000000001</v>
      </c>
      <c r="H890" s="2">
        <v>9244282.0530373491</v>
      </c>
      <c r="I890" s="1" t="s">
        <v>17</v>
      </c>
      <c r="J890" s="1">
        <v>363.49101999999999</v>
      </c>
      <c r="K890" s="1">
        <v>362.04324000000003</v>
      </c>
      <c r="L890" s="7">
        <f>G890-J890</f>
        <v>-0.4404999999999859</v>
      </c>
      <c r="M890" s="1" t="s">
        <v>3795</v>
      </c>
      <c r="N890" s="2">
        <v>407712.82975755102</v>
      </c>
      <c r="O890" s="1">
        <v>996415.13909801503</v>
      </c>
      <c r="P890" s="1">
        <v>888062.30837850703</v>
      </c>
      <c r="Q890" s="1">
        <f>STDEV(N890:P890)</f>
        <v>313327.93432205304</v>
      </c>
      <c r="R890" s="1">
        <v>764063.42574469105</v>
      </c>
      <c r="S890" s="1">
        <v>9.3698457718164989E-4</v>
      </c>
    </row>
    <row r="891" spans="1:19" x14ac:dyDescent="0.3">
      <c r="A891" s="1">
        <v>901</v>
      </c>
      <c r="B891" s="1" t="s">
        <v>553</v>
      </c>
      <c r="C891" s="1" t="s">
        <v>554</v>
      </c>
      <c r="D891" s="1">
        <v>7.2249999999999996</v>
      </c>
      <c r="E891" s="1" t="s">
        <v>555</v>
      </c>
      <c r="F891" s="1" t="s">
        <v>556</v>
      </c>
      <c r="G891" s="1">
        <v>426.27375999999998</v>
      </c>
      <c r="H891" s="2">
        <v>97871694.568589002</v>
      </c>
      <c r="I891" s="1" t="s">
        <v>344</v>
      </c>
      <c r="J891" s="1">
        <v>426.7174</v>
      </c>
      <c r="K891" s="1">
        <v>459.30707000000001</v>
      </c>
      <c r="L891" s="7">
        <f>G891-J891</f>
        <v>-0.44364000000001624</v>
      </c>
      <c r="M891" s="1" t="s">
        <v>557</v>
      </c>
      <c r="N891" s="2">
        <v>87412290.937507093</v>
      </c>
      <c r="O891" s="1">
        <v>84771043.969252497</v>
      </c>
      <c r="P891" s="1">
        <v>97871694.568589002</v>
      </c>
      <c r="Q891" s="1">
        <f>STDEV(N891:P891)</f>
        <v>6928231.5683862101</v>
      </c>
      <c r="R891" s="1">
        <v>90018343.158449531</v>
      </c>
      <c r="S891" s="1">
        <v>0.11039109628982074</v>
      </c>
    </row>
    <row r="892" spans="1:19" x14ac:dyDescent="0.3">
      <c r="A892" s="1">
        <v>227</v>
      </c>
      <c r="B892" s="1" t="s">
        <v>3834</v>
      </c>
      <c r="C892" s="1" t="s">
        <v>3835</v>
      </c>
      <c r="D892" s="1">
        <v>8.3670000000000009</v>
      </c>
      <c r="E892" s="1" t="s">
        <v>3836</v>
      </c>
      <c r="F892" s="1" t="s">
        <v>3837</v>
      </c>
      <c r="G892" s="1">
        <v>453.12437</v>
      </c>
      <c r="H892" s="2">
        <v>34824259.744734101</v>
      </c>
      <c r="I892" s="1" t="s">
        <v>17</v>
      </c>
      <c r="J892" s="1">
        <v>453.56896</v>
      </c>
      <c r="K892" s="1">
        <v>452.11709999999999</v>
      </c>
      <c r="L892" s="7">
        <f>G892-J892</f>
        <v>-0.44459000000000515</v>
      </c>
      <c r="M892" s="1" t="s">
        <v>3838</v>
      </c>
      <c r="N892" s="2">
        <v>660203.99375439598</v>
      </c>
      <c r="O892" s="1">
        <v>757589.72031416697</v>
      </c>
      <c r="P892" s="1">
        <v>756836.29050885397</v>
      </c>
      <c r="Q892" s="1">
        <f>STDEV(N892:P892)</f>
        <v>56009.445885028552</v>
      </c>
      <c r="R892" s="1">
        <v>724876.66819247231</v>
      </c>
      <c r="S892" s="1">
        <v>8.8892915898073407E-4</v>
      </c>
    </row>
    <row r="893" spans="1:19" x14ac:dyDescent="0.3">
      <c r="A893" s="1">
        <v>769</v>
      </c>
      <c r="B893" s="1" t="s">
        <v>3996</v>
      </c>
      <c r="C893" s="1" t="s">
        <v>3997</v>
      </c>
      <c r="D893" s="1">
        <v>14.516999999999999</v>
      </c>
      <c r="E893" s="1" t="s">
        <v>3998</v>
      </c>
      <c r="F893" s="1" t="s">
        <v>3999</v>
      </c>
      <c r="G893" s="1">
        <v>748.49108000000001</v>
      </c>
      <c r="H893" s="2">
        <v>17003193.0501986</v>
      </c>
      <c r="I893" s="1" t="s">
        <v>23</v>
      </c>
      <c r="J893" s="1">
        <v>748.93966</v>
      </c>
      <c r="K893" s="1">
        <v>749.49834999999996</v>
      </c>
      <c r="L893" s="7">
        <f>G893-J893</f>
        <v>-0.44857999999999265</v>
      </c>
      <c r="M893" s="1" t="s">
        <v>24</v>
      </c>
      <c r="N893" s="2">
        <v>629026.57466641301</v>
      </c>
      <c r="O893" s="1">
        <v>640794.76115144801</v>
      </c>
      <c r="P893" s="1">
        <v>548949.84367509501</v>
      </c>
      <c r="Q893" s="1">
        <f>STDEV(N893:P893)</f>
        <v>49977.097964368579</v>
      </c>
      <c r="R893" s="1">
        <v>606257.05983098538</v>
      </c>
      <c r="S893" s="1">
        <v>7.4346382214994153E-4</v>
      </c>
    </row>
    <row r="894" spans="1:19" x14ac:dyDescent="0.3">
      <c r="A894" s="1">
        <v>764</v>
      </c>
      <c r="B894" s="1" t="s">
        <v>4128</v>
      </c>
      <c r="C894" s="1" t="s">
        <v>4129</v>
      </c>
      <c r="D894" s="1">
        <v>14.647</v>
      </c>
      <c r="E894" s="1" t="s">
        <v>4130</v>
      </c>
      <c r="F894" s="1" t="s">
        <v>4131</v>
      </c>
      <c r="G894" s="1">
        <v>1146.8044199999999</v>
      </c>
      <c r="H894" s="2">
        <v>79268048.297075495</v>
      </c>
      <c r="I894" s="1" t="s">
        <v>290</v>
      </c>
      <c r="J894" s="1">
        <v>1147.2563399999999</v>
      </c>
      <c r="K894" s="1">
        <v>574.40948000000003</v>
      </c>
      <c r="L894" s="7">
        <f>G894-J894</f>
        <v>-0.45191999999997279</v>
      </c>
      <c r="M894" s="1" t="s">
        <v>4132</v>
      </c>
      <c r="N894" s="2">
        <v>509458.93954942102</v>
      </c>
      <c r="O894" s="1">
        <v>563503.59714582295</v>
      </c>
      <c r="P894" s="1">
        <v>412576.80343762098</v>
      </c>
      <c r="Q894" s="1">
        <f>STDEV(N894:P894)</f>
        <v>76469.896442255107</v>
      </c>
      <c r="R894" s="1">
        <v>495179.78004428837</v>
      </c>
      <c r="S894" s="1">
        <v>6.0724777708275708E-4</v>
      </c>
    </row>
    <row r="895" spans="1:19" x14ac:dyDescent="0.3">
      <c r="A895" s="1">
        <v>248</v>
      </c>
      <c r="B895" s="1" t="s">
        <v>3446</v>
      </c>
      <c r="C895" s="1" t="s">
        <v>3447</v>
      </c>
      <c r="D895" s="1">
        <v>3.2669999999999999</v>
      </c>
      <c r="E895" s="1" t="s">
        <v>3448</v>
      </c>
      <c r="F895" s="1" t="s">
        <v>3449</v>
      </c>
      <c r="G895" s="1">
        <v>467.13997000000001</v>
      </c>
      <c r="H895" s="2">
        <v>4391501.3254561098</v>
      </c>
      <c r="I895" s="1" t="s">
        <v>17</v>
      </c>
      <c r="J895" s="1">
        <v>467.59554000000003</v>
      </c>
      <c r="K895" s="1">
        <v>466.13269000000003</v>
      </c>
      <c r="L895" s="7">
        <f>G895-J895</f>
        <v>-0.4555700000000229</v>
      </c>
      <c r="M895" s="1" t="s">
        <v>3450</v>
      </c>
      <c r="N895" s="2">
        <v>883959.25820255897</v>
      </c>
      <c r="O895" s="1">
        <v>1219085.6704245899</v>
      </c>
      <c r="P895" s="1">
        <v>1229020.9196703101</v>
      </c>
      <c r="Q895" s="1">
        <f>STDEV(N895:P895)</f>
        <v>196416.21265451759</v>
      </c>
      <c r="R895" s="1">
        <v>1110688.6160991529</v>
      </c>
      <c r="S895" s="1">
        <v>1.3620572170717697E-3</v>
      </c>
    </row>
    <row r="896" spans="1:19" x14ac:dyDescent="0.3">
      <c r="A896" s="1">
        <v>722</v>
      </c>
      <c r="B896" s="1" t="s">
        <v>3350</v>
      </c>
      <c r="C896" s="1" t="s">
        <v>3351</v>
      </c>
      <c r="D896" s="1">
        <v>1.647</v>
      </c>
      <c r="E896" s="1" t="s">
        <v>3352</v>
      </c>
      <c r="F896" s="1" t="s">
        <v>3353</v>
      </c>
      <c r="G896" s="1">
        <v>482.06666000000001</v>
      </c>
      <c r="H896" s="2">
        <v>46248174.567701302</v>
      </c>
      <c r="I896" s="1" t="s">
        <v>17</v>
      </c>
      <c r="J896" s="1">
        <v>482.52229999999997</v>
      </c>
      <c r="K896" s="1">
        <v>481.05939000000001</v>
      </c>
      <c r="L896" s="7">
        <f>G896-J896</f>
        <v>-0.45563999999995985</v>
      </c>
      <c r="M896" s="1" t="s">
        <v>3354</v>
      </c>
      <c r="N896" s="2">
        <v>1087847.86589909</v>
      </c>
      <c r="O896" s="1">
        <v>1287757.42774126</v>
      </c>
      <c r="P896" s="1">
        <v>1288022.5674954599</v>
      </c>
      <c r="Q896" s="1">
        <f>STDEV(N896:P896)</f>
        <v>115494.45468233056</v>
      </c>
      <c r="R896" s="1">
        <v>1221209.28704527</v>
      </c>
      <c r="S896" s="1">
        <v>1.497590682811671E-3</v>
      </c>
    </row>
    <row r="897" spans="1:19" x14ac:dyDescent="0.3">
      <c r="A897" s="1">
        <v>85</v>
      </c>
      <c r="B897" s="1" t="s">
        <v>3332</v>
      </c>
      <c r="C897" s="1" t="s">
        <v>3333</v>
      </c>
      <c r="D897" s="1">
        <v>9.6940000000000008</v>
      </c>
      <c r="E897" s="1" t="s">
        <v>3334</v>
      </c>
      <c r="F897" s="1" t="s">
        <v>3335</v>
      </c>
      <c r="G897" s="1">
        <v>609.25770999999997</v>
      </c>
      <c r="H897" s="2">
        <v>8553269.4649541304</v>
      </c>
      <c r="I897" s="1" t="s">
        <v>17</v>
      </c>
      <c r="J897" s="1">
        <v>609.71465999999998</v>
      </c>
      <c r="K897" s="1">
        <v>608.25043000000005</v>
      </c>
      <c r="L897" s="7">
        <f>G897-J897</f>
        <v>-0.45695000000000618</v>
      </c>
      <c r="M897" s="1" t="s">
        <v>3336</v>
      </c>
      <c r="N897" s="2">
        <v>1553137.2903263699</v>
      </c>
      <c r="O897" s="1">
        <v>1221513.38927108</v>
      </c>
      <c r="P897" s="1">
        <v>958702.05017925904</v>
      </c>
      <c r="Q897" s="1">
        <f>STDEV(N897:P897)</f>
        <v>297880.69939578162</v>
      </c>
      <c r="R897" s="1">
        <v>1244450.9099255695</v>
      </c>
      <c r="S897" s="1">
        <v>1.5260922985856336E-3</v>
      </c>
    </row>
    <row r="898" spans="1:19" x14ac:dyDescent="0.3">
      <c r="A898" s="1">
        <v>244</v>
      </c>
      <c r="B898" s="1" t="s">
        <v>3539</v>
      </c>
      <c r="C898" s="1" t="s">
        <v>3540</v>
      </c>
      <c r="D898" s="1">
        <v>11.93</v>
      </c>
      <c r="E898" s="1" t="s">
        <v>3541</v>
      </c>
      <c r="F898" s="1" t="s">
        <v>3542</v>
      </c>
      <c r="G898" s="1">
        <v>377.05986999999999</v>
      </c>
      <c r="H898" s="2">
        <v>16168767.752339801</v>
      </c>
      <c r="I898" s="1" t="s">
        <v>17</v>
      </c>
      <c r="J898" s="1">
        <v>377.51760000000002</v>
      </c>
      <c r="K898" s="1">
        <v>376.05259999999998</v>
      </c>
      <c r="L898" s="7">
        <f>G898-J898</f>
        <v>-0.45773000000002639</v>
      </c>
      <c r="M898" s="1" t="s">
        <v>3543</v>
      </c>
      <c r="N898" s="2">
        <v>1174354.69682122</v>
      </c>
      <c r="O898" s="1">
        <v>1200507.2766441701</v>
      </c>
      <c r="P898" s="1">
        <v>581730.83557998901</v>
      </c>
      <c r="Q898" s="1">
        <f>STDEV(N898:P898)</f>
        <v>349945.53918191197</v>
      </c>
      <c r="R898" s="1">
        <v>985530.93634845968</v>
      </c>
      <c r="S898" s="1">
        <v>1.2085741269370178E-3</v>
      </c>
    </row>
    <row r="899" spans="1:19" x14ac:dyDescent="0.3">
      <c r="A899" s="1">
        <v>215</v>
      </c>
      <c r="B899" s="1" t="s">
        <v>4312</v>
      </c>
      <c r="C899" s="1" t="s">
        <v>4313</v>
      </c>
      <c r="D899" s="1">
        <v>6.6520000000000001</v>
      </c>
      <c r="E899" s="1" t="s">
        <v>4314</v>
      </c>
      <c r="F899" s="1" t="s">
        <v>4315</v>
      </c>
      <c r="G899" s="1">
        <v>673.33049000000005</v>
      </c>
      <c r="H899" s="2">
        <v>17790866.336333301</v>
      </c>
      <c r="I899" s="1" t="s">
        <v>23</v>
      </c>
      <c r="J899" s="1">
        <v>673.79024000000004</v>
      </c>
      <c r="K899" s="1">
        <v>674.33776999999998</v>
      </c>
      <c r="L899" s="7">
        <f>G899-J899</f>
        <v>-0.45974999999998545</v>
      </c>
      <c r="M899" s="1" t="s">
        <v>4316</v>
      </c>
      <c r="N899" s="2">
        <v>266885.17553334398</v>
      </c>
      <c r="O899" s="1">
        <v>322545.17776676</v>
      </c>
      <c r="P899" s="1">
        <v>370764.31408518198</v>
      </c>
      <c r="Q899" s="1">
        <f>STDEV(N899:P899)</f>
        <v>51983.966089219102</v>
      </c>
      <c r="R899" s="1">
        <v>320064.88912842865</v>
      </c>
      <c r="S899" s="1">
        <v>3.9250126979759585E-4</v>
      </c>
    </row>
    <row r="900" spans="1:19" x14ac:dyDescent="0.3">
      <c r="A900" s="1">
        <v>900</v>
      </c>
      <c r="B900" s="1" t="s">
        <v>1622</v>
      </c>
      <c r="C900" s="1" t="s">
        <v>1623</v>
      </c>
      <c r="D900" s="1">
        <v>0.36299999999999999</v>
      </c>
      <c r="E900" s="1" t="s">
        <v>1624</v>
      </c>
      <c r="F900" s="1" t="s">
        <v>1625</v>
      </c>
      <c r="G900" s="1">
        <v>410.29955000000001</v>
      </c>
      <c r="H900" s="2">
        <v>21714845.659623399</v>
      </c>
      <c r="I900" s="1" t="s">
        <v>23</v>
      </c>
      <c r="J900" s="1">
        <v>410.75952000000001</v>
      </c>
      <c r="K900" s="1">
        <v>411.30682000000002</v>
      </c>
      <c r="L900" s="7">
        <f>G900-J900</f>
        <v>-0.45996999999999844</v>
      </c>
      <c r="M900" s="1" t="s">
        <v>24</v>
      </c>
      <c r="N900" s="2">
        <v>4483147.90097629</v>
      </c>
      <c r="O900" s="1">
        <v>13042741.2302866</v>
      </c>
      <c r="P900" s="1">
        <v>21714845.659623399</v>
      </c>
      <c r="Q900" s="1">
        <f>STDEV(N900:P900)</f>
        <v>8615910.0974288639</v>
      </c>
      <c r="R900" s="1">
        <v>13080244.93029543</v>
      </c>
      <c r="S900" s="1">
        <v>1.6040537149779203E-2</v>
      </c>
    </row>
    <row r="901" spans="1:19" x14ac:dyDescent="0.3">
      <c r="A901" s="1">
        <v>827</v>
      </c>
      <c r="B901" s="1" t="s">
        <v>1537</v>
      </c>
      <c r="C901" s="1" t="s">
        <v>1538</v>
      </c>
      <c r="D901" s="1">
        <v>21.204000000000001</v>
      </c>
      <c r="E901" s="1" t="s">
        <v>1539</v>
      </c>
      <c r="F901" s="1" t="s">
        <v>1540</v>
      </c>
      <c r="G901" s="1">
        <v>430.15852000000001</v>
      </c>
      <c r="H901" s="2">
        <v>103454062.390975</v>
      </c>
      <c r="I901" s="1" t="s">
        <v>17</v>
      </c>
      <c r="J901" s="1">
        <v>430.61998</v>
      </c>
      <c r="K901" s="1">
        <v>429.15125</v>
      </c>
      <c r="L901" s="7">
        <f>G901-J901</f>
        <v>-0.46145999999998821</v>
      </c>
      <c r="M901" s="1" t="s">
        <v>1541</v>
      </c>
      <c r="N901" s="2">
        <v>10673644.405936301</v>
      </c>
      <c r="O901" s="1">
        <v>17030023.615647901</v>
      </c>
      <c r="P901" s="1">
        <v>15927554.8522697</v>
      </c>
      <c r="Q901" s="1">
        <f>STDEV(N901:P901)</f>
        <v>3396629.9231731058</v>
      </c>
      <c r="R901" s="1">
        <v>14543740.9579513</v>
      </c>
      <c r="S901" s="1">
        <v>1.7835248374627657E-2</v>
      </c>
    </row>
    <row r="902" spans="1:19" x14ac:dyDescent="0.3">
      <c r="A902" s="1">
        <v>790</v>
      </c>
      <c r="B902" s="1" t="s">
        <v>3001</v>
      </c>
      <c r="C902" s="1" t="s">
        <v>3002</v>
      </c>
      <c r="D902" s="1">
        <v>7.3490000000000002</v>
      </c>
      <c r="E902" s="1" t="s">
        <v>3003</v>
      </c>
      <c r="F902" s="1" t="s">
        <v>3004</v>
      </c>
      <c r="G902" s="1">
        <v>520.19204999999999</v>
      </c>
      <c r="H902" s="2">
        <v>2065919.6939176</v>
      </c>
      <c r="I902" s="1" t="s">
        <v>17</v>
      </c>
      <c r="J902" s="1">
        <v>520.65485999999999</v>
      </c>
      <c r="K902" s="1">
        <v>519.18425999999999</v>
      </c>
      <c r="L902" s="7">
        <f>G902-J902</f>
        <v>-0.4628099999999904</v>
      </c>
      <c r="M902" s="1" t="s">
        <v>3005</v>
      </c>
      <c r="N902" s="2">
        <v>2019170.69382979</v>
      </c>
      <c r="O902" s="1">
        <v>2065919.6939176</v>
      </c>
      <c r="P902" s="1">
        <v>1681209.1404701399</v>
      </c>
      <c r="Q902" s="1">
        <f>STDEV(N902:P902)</f>
        <v>209922.87889140329</v>
      </c>
      <c r="R902" s="1">
        <v>1922099.8427391767</v>
      </c>
      <c r="S902" s="1">
        <v>2.3571052451497308E-3</v>
      </c>
    </row>
    <row r="903" spans="1:19" x14ac:dyDescent="0.3">
      <c r="A903" s="1">
        <v>372</v>
      </c>
      <c r="B903" s="1" t="s">
        <v>4393</v>
      </c>
      <c r="C903" s="1" t="s">
        <v>4394</v>
      </c>
      <c r="D903" s="1">
        <v>13.632</v>
      </c>
      <c r="E903" s="1" t="s">
        <v>4395</v>
      </c>
      <c r="F903" s="1" t="s">
        <v>4396</v>
      </c>
      <c r="G903" s="1">
        <v>430.19636000000003</v>
      </c>
      <c r="H903" s="2">
        <v>33017141.855283398</v>
      </c>
      <c r="I903" s="1" t="s">
        <v>17</v>
      </c>
      <c r="J903" s="1">
        <v>430.66633999999999</v>
      </c>
      <c r="K903" s="1">
        <v>429.18909000000002</v>
      </c>
      <c r="L903" s="7">
        <f>G903-J903</f>
        <v>-0.46997999999996409</v>
      </c>
      <c r="M903" s="1" t="s">
        <v>4397</v>
      </c>
      <c r="N903" s="2">
        <v>202736.42735111999</v>
      </c>
      <c r="O903" s="1">
        <v>337300.79553497699</v>
      </c>
      <c r="P903" s="1">
        <v>199013.00680031601</v>
      </c>
      <c r="Q903" s="1">
        <f>STDEV(N903:P903)</f>
        <v>78787.631811134197</v>
      </c>
      <c r="R903" s="1">
        <v>246350.07656213766</v>
      </c>
      <c r="S903" s="1">
        <v>3.0210348323016228E-4</v>
      </c>
    </row>
    <row r="904" spans="1:19" x14ac:dyDescent="0.3">
      <c r="A904" s="1">
        <v>834</v>
      </c>
      <c r="B904" s="1" t="s">
        <v>3748</v>
      </c>
      <c r="C904" s="1" t="s">
        <v>3749</v>
      </c>
      <c r="D904" s="1">
        <v>7.5519999999999996</v>
      </c>
      <c r="E904" s="1" t="s">
        <v>3750</v>
      </c>
      <c r="F904" s="1" t="s">
        <v>3751</v>
      </c>
      <c r="G904" s="1">
        <v>416.16584999999998</v>
      </c>
      <c r="H904" s="2">
        <v>34305014.257330097</v>
      </c>
      <c r="I904" s="1" t="s">
        <v>17</v>
      </c>
      <c r="J904" s="1">
        <v>416.63646</v>
      </c>
      <c r="K904" s="1">
        <v>415.15857</v>
      </c>
      <c r="L904" s="7">
        <f>G904-J904</f>
        <v>-0.47061000000002196</v>
      </c>
      <c r="M904" s="1" t="s">
        <v>3752</v>
      </c>
      <c r="N904" s="2">
        <v>804875.33660055499</v>
      </c>
      <c r="O904" s="1">
        <v>646615.41557118006</v>
      </c>
      <c r="P904" s="1">
        <v>970633.969895866</v>
      </c>
      <c r="Q904" s="1">
        <f>STDEV(N904:P904)</f>
        <v>162023.73831366654</v>
      </c>
      <c r="R904" s="1">
        <v>807374.90735586698</v>
      </c>
      <c r="S904" s="1">
        <v>9.9009821790461104E-4</v>
      </c>
    </row>
    <row r="905" spans="1:19" x14ac:dyDescent="0.3">
      <c r="A905" s="1">
        <v>899</v>
      </c>
      <c r="B905" s="1" t="s">
        <v>3242</v>
      </c>
      <c r="C905" s="1" t="s">
        <v>3243</v>
      </c>
      <c r="D905" s="1">
        <v>7.9850000000000003</v>
      </c>
      <c r="E905" s="1" t="s">
        <v>3244</v>
      </c>
      <c r="F905" s="1" t="s">
        <v>3245</v>
      </c>
      <c r="G905" s="1">
        <v>426.24594999999999</v>
      </c>
      <c r="H905" s="2">
        <v>1906042.32507717</v>
      </c>
      <c r="I905" s="1" t="s">
        <v>17</v>
      </c>
      <c r="J905" s="1">
        <v>426.7174</v>
      </c>
      <c r="K905" s="1">
        <v>425.23867999999999</v>
      </c>
      <c r="L905" s="7">
        <f>G905-J905</f>
        <v>-0.47145000000000437</v>
      </c>
      <c r="M905" s="1" t="s">
        <v>3246</v>
      </c>
      <c r="N905" s="2">
        <v>1117869.5249356399</v>
      </c>
      <c r="O905" s="1">
        <v>1376905.0160519199</v>
      </c>
      <c r="P905" s="1">
        <v>1906042.32507717</v>
      </c>
      <c r="Q905" s="1">
        <f>STDEV(N905:P905)</f>
        <v>401725.86846075382</v>
      </c>
      <c r="R905" s="1">
        <v>1466938.9553549096</v>
      </c>
      <c r="S905" s="1">
        <v>1.798933348360264E-3</v>
      </c>
    </row>
    <row r="906" spans="1:19" x14ac:dyDescent="0.3">
      <c r="A906" s="1">
        <v>126</v>
      </c>
      <c r="B906" s="1" t="s">
        <v>1239</v>
      </c>
      <c r="C906" s="1" t="s">
        <v>1240</v>
      </c>
      <c r="D906" s="1">
        <v>13.099</v>
      </c>
      <c r="E906" s="1" t="s">
        <v>1241</v>
      </c>
      <c r="F906" s="1" t="s">
        <v>1242</v>
      </c>
      <c r="G906" s="1">
        <v>690.44975999999997</v>
      </c>
      <c r="H906" s="2">
        <v>334838542.54410201</v>
      </c>
      <c r="I906" s="1" t="s">
        <v>398</v>
      </c>
      <c r="J906" s="1">
        <v>690.92139999999995</v>
      </c>
      <c r="K906" s="1">
        <v>708.48346000000004</v>
      </c>
      <c r="L906" s="7">
        <f>G906-J906</f>
        <v>-0.47163999999997941</v>
      </c>
      <c r="M906" s="1" t="s">
        <v>1139</v>
      </c>
      <c r="N906" s="2">
        <v>14942590.3543116</v>
      </c>
      <c r="O906" s="1">
        <v>6228491.2859792896</v>
      </c>
      <c r="P906" s="1">
        <v>61293130.580566801</v>
      </c>
      <c r="Q906" s="1">
        <f>STDEV(N906:P906)</f>
        <v>29598487.017868105</v>
      </c>
      <c r="R906" s="1">
        <v>27488070.740285899</v>
      </c>
      <c r="S906" s="1">
        <v>3.3709110359553186E-2</v>
      </c>
    </row>
    <row r="907" spans="1:19" x14ac:dyDescent="0.3">
      <c r="A907" s="1">
        <v>956</v>
      </c>
      <c r="B907" s="1" t="s">
        <v>4150</v>
      </c>
      <c r="C907" s="1" t="s">
        <v>4151</v>
      </c>
      <c r="D907" s="1">
        <v>7.45</v>
      </c>
      <c r="E907" s="1" t="s">
        <v>4152</v>
      </c>
      <c r="F907" s="1" t="s">
        <v>4153</v>
      </c>
      <c r="G907" s="1">
        <v>400.2072</v>
      </c>
      <c r="H907" s="2">
        <v>50321671.893279299</v>
      </c>
      <c r="I907" s="1" t="s">
        <v>17</v>
      </c>
      <c r="J907" s="1">
        <v>400.68011999999999</v>
      </c>
      <c r="K907" s="1">
        <v>399.19995</v>
      </c>
      <c r="L907" s="7">
        <f>G907-J907</f>
        <v>-0.47291999999998779</v>
      </c>
      <c r="M907" s="1" t="s">
        <v>4154</v>
      </c>
      <c r="N907" s="2">
        <v>416637.649023926</v>
      </c>
      <c r="O907" s="1">
        <v>485633.54606943001</v>
      </c>
      <c r="P907" s="1">
        <v>500071.27496237098</v>
      </c>
      <c r="Q907" s="1">
        <f>STDEV(N907:P907)</f>
        <v>44590.828208530751</v>
      </c>
      <c r="R907" s="1">
        <v>467447.49001857569</v>
      </c>
      <c r="S907" s="1">
        <v>5.732391762670652E-4</v>
      </c>
    </row>
    <row r="908" spans="1:19" x14ac:dyDescent="0.3">
      <c r="A908" s="1">
        <v>942</v>
      </c>
      <c r="B908" s="1" t="s">
        <v>3428</v>
      </c>
      <c r="C908" s="1" t="s">
        <v>3429</v>
      </c>
      <c r="D908" s="1">
        <v>6.6929999999999996</v>
      </c>
      <c r="E908" s="1"/>
      <c r="F908" s="1" t="s">
        <v>3430</v>
      </c>
      <c r="G908" s="1">
        <v>400.20697999999999</v>
      </c>
      <c r="H908" s="2">
        <v>46130161.831980601</v>
      </c>
      <c r="I908" s="1" t="s">
        <v>17</v>
      </c>
      <c r="J908" s="1">
        <v>400.68011999999999</v>
      </c>
      <c r="K908" s="1">
        <v>399.19970999999998</v>
      </c>
      <c r="L908" s="7">
        <f>G908-J908</f>
        <v>-0.47314000000000078</v>
      </c>
      <c r="M908" s="1" t="s">
        <v>3431</v>
      </c>
      <c r="N908" s="2">
        <v>1070145.4330710999</v>
      </c>
      <c r="O908" s="1">
        <v>1131316.4226185801</v>
      </c>
      <c r="P908" s="1">
        <v>1165053.10803599</v>
      </c>
      <c r="Q908" s="1">
        <f>STDEV(N908:P908)</f>
        <v>48110.152553649277</v>
      </c>
      <c r="R908" s="1">
        <v>1122171.6545752233</v>
      </c>
      <c r="S908" s="1">
        <v>1.3761390715209272E-3</v>
      </c>
    </row>
    <row r="909" spans="1:19" x14ac:dyDescent="0.3">
      <c r="A909" s="1">
        <v>71</v>
      </c>
      <c r="B909" s="1" t="s">
        <v>1726</v>
      </c>
      <c r="C909" s="1" t="s">
        <v>1727</v>
      </c>
      <c r="D909" s="1">
        <v>12.361000000000001</v>
      </c>
      <c r="E909" s="1" t="s">
        <v>1728</v>
      </c>
      <c r="F909" s="1" t="s">
        <v>1729</v>
      </c>
      <c r="G909" s="1">
        <v>822.46585000000005</v>
      </c>
      <c r="H909" s="2">
        <v>16825923.455229301</v>
      </c>
      <c r="I909" s="1" t="s">
        <v>290</v>
      </c>
      <c r="J909" s="1">
        <v>822.94176000000004</v>
      </c>
      <c r="K909" s="1">
        <v>412.24020000000002</v>
      </c>
      <c r="L909" s="7">
        <f>G909-J909</f>
        <v>-0.47590999999999894</v>
      </c>
      <c r="M909" s="1" t="s">
        <v>1730</v>
      </c>
      <c r="N909" s="2">
        <v>16825923.455229301</v>
      </c>
      <c r="O909" s="1">
        <v>5929928.4939409401</v>
      </c>
      <c r="P909" s="1">
        <v>8913083.1652325802</v>
      </c>
      <c r="Q909" s="1">
        <f>STDEV(N909:P909)</f>
        <v>5630792.7127576247</v>
      </c>
      <c r="R909" s="1">
        <v>10556311.704800939</v>
      </c>
      <c r="S909" s="1">
        <v>1.2945392916406503E-2</v>
      </c>
    </row>
    <row r="910" spans="1:19" x14ac:dyDescent="0.3">
      <c r="A910" s="1">
        <v>356</v>
      </c>
      <c r="B910" s="1" t="s">
        <v>1969</v>
      </c>
      <c r="C910" s="1" t="s">
        <v>1970</v>
      </c>
      <c r="D910" s="1">
        <v>7.4189999999999996</v>
      </c>
      <c r="E910" s="1" t="s">
        <v>1971</v>
      </c>
      <c r="F910" s="1" t="s">
        <v>1972</v>
      </c>
      <c r="G910" s="1">
        <v>416.20280000000002</v>
      </c>
      <c r="H910" s="2">
        <v>16429464.9473029</v>
      </c>
      <c r="I910" s="1" t="s">
        <v>17</v>
      </c>
      <c r="J910" s="1">
        <v>416.68281999999999</v>
      </c>
      <c r="K910" s="1">
        <v>415.19551999999999</v>
      </c>
      <c r="L910" s="7">
        <f>G910-J910</f>
        <v>-0.48001999999996769</v>
      </c>
      <c r="M910" s="1" t="s">
        <v>1973</v>
      </c>
      <c r="N910" s="2">
        <v>2615978.6925352002</v>
      </c>
      <c r="O910" s="1">
        <v>16429464.9473029</v>
      </c>
      <c r="P910" s="1">
        <v>3560029.34264225</v>
      </c>
      <c r="Q910" s="1">
        <f>STDEV(N910:P910)</f>
        <v>7717145.4882740481</v>
      </c>
      <c r="R910" s="1">
        <v>7535157.6608267836</v>
      </c>
      <c r="S910" s="1">
        <v>9.2404979441929672E-3</v>
      </c>
    </row>
    <row r="911" spans="1:19" x14ac:dyDescent="0.3">
      <c r="A911" s="1">
        <v>64</v>
      </c>
      <c r="B911" s="1" t="s">
        <v>3511</v>
      </c>
      <c r="C911" s="1" t="s">
        <v>3512</v>
      </c>
      <c r="D911" s="1">
        <v>7.5789999999999997</v>
      </c>
      <c r="E911" s="1" t="s">
        <v>3513</v>
      </c>
      <c r="F911" s="1" t="s">
        <v>3514</v>
      </c>
      <c r="G911" s="1">
        <v>688.37401</v>
      </c>
      <c r="H911" s="2">
        <v>27183978.179177199</v>
      </c>
      <c r="I911" s="1" t="s">
        <v>23</v>
      </c>
      <c r="J911" s="1">
        <v>688.85432000000003</v>
      </c>
      <c r="K911" s="1">
        <v>689.38129000000004</v>
      </c>
      <c r="L911" s="7">
        <f>G911-J911</f>
        <v>-0.48031000000003132</v>
      </c>
      <c r="M911" s="1" t="s">
        <v>3515</v>
      </c>
      <c r="N911" s="2">
        <v>841047.90104128898</v>
      </c>
      <c r="O911" s="1">
        <v>1044822.56555061</v>
      </c>
      <c r="P911" s="1">
        <v>1219708.9228336101</v>
      </c>
      <c r="Q911" s="1">
        <f>STDEV(N911:P911)</f>
        <v>189514.08095636289</v>
      </c>
      <c r="R911" s="1">
        <v>1035193.1298085029</v>
      </c>
      <c r="S911" s="1">
        <v>1.2694757586251451E-3</v>
      </c>
    </row>
    <row r="912" spans="1:19" x14ac:dyDescent="0.3">
      <c r="A912" s="1">
        <v>860</v>
      </c>
      <c r="B912" s="1" t="s">
        <v>1117</v>
      </c>
      <c r="C912" s="1" t="s">
        <v>1118</v>
      </c>
      <c r="D912" s="1">
        <v>13.074999999999999</v>
      </c>
      <c r="E912" s="1" t="s">
        <v>1119</v>
      </c>
      <c r="F912" s="1" t="s">
        <v>1120</v>
      </c>
      <c r="G912" s="1">
        <v>564.35918000000004</v>
      </c>
      <c r="H912" s="2">
        <v>147622964.015618</v>
      </c>
      <c r="I912" s="1" t="s">
        <v>23</v>
      </c>
      <c r="J912" s="1">
        <v>564.83968000000004</v>
      </c>
      <c r="K912" s="1">
        <v>565.36645999999996</v>
      </c>
      <c r="L912" s="7">
        <f>G912-J912</f>
        <v>-0.48050000000000637</v>
      </c>
      <c r="M912" s="1" t="s">
        <v>1121</v>
      </c>
      <c r="N912" s="2">
        <v>30018544.985268898</v>
      </c>
      <c r="O912" s="1">
        <v>49562063.007911101</v>
      </c>
      <c r="P912" s="1">
        <v>19860488.938363899</v>
      </c>
      <c r="Q912" s="1">
        <f>STDEV(N912:P912)</f>
        <v>15095908.394673266</v>
      </c>
      <c r="R912" s="1">
        <v>33147032.310514633</v>
      </c>
      <c r="S912" s="1">
        <v>4.0648795646805423E-2</v>
      </c>
    </row>
    <row r="913" spans="1:19" x14ac:dyDescent="0.3">
      <c r="A913" s="1">
        <v>852</v>
      </c>
      <c r="B913" s="1" t="s">
        <v>1300</v>
      </c>
      <c r="C913" s="1" t="s">
        <v>1301</v>
      </c>
      <c r="D913" s="1">
        <v>12.444000000000001</v>
      </c>
      <c r="E913" s="1" t="s">
        <v>1302</v>
      </c>
      <c r="F913" s="1" t="s">
        <v>1303</v>
      </c>
      <c r="G913" s="1">
        <v>658.42399999999998</v>
      </c>
      <c r="H913" s="2">
        <v>38156132.125257902</v>
      </c>
      <c r="I913" s="1" t="s">
        <v>398</v>
      </c>
      <c r="J913" s="1">
        <v>658.90632000000005</v>
      </c>
      <c r="K913" s="1">
        <v>676.45740000000001</v>
      </c>
      <c r="L913" s="7">
        <f>G913-J913</f>
        <v>-0.48232000000007247</v>
      </c>
      <c r="M913" s="1" t="s">
        <v>1304</v>
      </c>
      <c r="N913" s="2">
        <v>27642408.749765199</v>
      </c>
      <c r="O913" s="1">
        <v>25777825.690793201</v>
      </c>
      <c r="P913" s="1">
        <v>21879486.916860901</v>
      </c>
      <c r="Q913" s="1">
        <f>STDEV(N913:P913)</f>
        <v>2940662.7153391344</v>
      </c>
      <c r="R913" s="1">
        <v>25099907.119139772</v>
      </c>
      <c r="S913" s="1">
        <v>3.0780462808311922E-2</v>
      </c>
    </row>
    <row r="914" spans="1:19" x14ac:dyDescent="0.3">
      <c r="A914" s="1">
        <v>379</v>
      </c>
      <c r="B914" s="1" t="s">
        <v>3876</v>
      </c>
      <c r="C914" s="1" t="s">
        <v>3877</v>
      </c>
      <c r="D914" s="1">
        <v>3.2919999999999998</v>
      </c>
      <c r="E914" s="1" t="s">
        <v>3878</v>
      </c>
      <c r="F914" s="1" t="s">
        <v>3879</v>
      </c>
      <c r="G914" s="1">
        <v>409.12112000000002</v>
      </c>
      <c r="H914" s="2">
        <v>1051547.4168004901</v>
      </c>
      <c r="I914" s="1" t="s">
        <v>17</v>
      </c>
      <c r="J914" s="1">
        <v>409.60406</v>
      </c>
      <c r="K914" s="1">
        <v>408.11385000000001</v>
      </c>
      <c r="L914" s="7">
        <f>G914-J914</f>
        <v>-0.48293999999998505</v>
      </c>
      <c r="M914" s="1" t="s">
        <v>24</v>
      </c>
      <c r="N914" s="2">
        <v>811130.01410148095</v>
      </c>
      <c r="O914" s="1">
        <v>224098.70243809599</v>
      </c>
      <c r="P914" s="1">
        <v>1051547.4168004901</v>
      </c>
      <c r="Q914" s="1">
        <f>STDEV(N914:P914)</f>
        <v>425651.98290265078</v>
      </c>
      <c r="R914" s="1">
        <v>695592.04444668896</v>
      </c>
      <c r="S914" s="1">
        <v>8.5301690369692313E-4</v>
      </c>
    </row>
    <row r="915" spans="1:19" x14ac:dyDescent="0.3">
      <c r="A915" s="1">
        <v>279</v>
      </c>
      <c r="B915" s="1" t="s">
        <v>3176</v>
      </c>
      <c r="C915" s="1" t="s">
        <v>3177</v>
      </c>
      <c r="D915" s="1">
        <v>7.1950000000000003</v>
      </c>
      <c r="E915" s="1" t="s">
        <v>3178</v>
      </c>
      <c r="F915" s="1" t="s">
        <v>3179</v>
      </c>
      <c r="G915" s="1">
        <v>467.24486000000002</v>
      </c>
      <c r="H915" s="2">
        <v>7556428.5568005703</v>
      </c>
      <c r="I915" s="1" t="s">
        <v>23</v>
      </c>
      <c r="J915" s="1">
        <v>467.72955999999999</v>
      </c>
      <c r="K915" s="1">
        <v>468.25214</v>
      </c>
      <c r="L915" s="7">
        <f>G915-J915</f>
        <v>-0.48469999999997526</v>
      </c>
      <c r="M915" s="1" t="s">
        <v>24</v>
      </c>
      <c r="N915" s="2">
        <v>2609686.7787146801</v>
      </c>
      <c r="O915" s="1">
        <v>982265.82946682198</v>
      </c>
      <c r="P915" s="1">
        <v>1167238.18400885</v>
      </c>
      <c r="Q915" s="1">
        <f>STDEV(N915:P915)</f>
        <v>891008.01215668465</v>
      </c>
      <c r="R915" s="1">
        <v>1586396.9307301175</v>
      </c>
      <c r="S915" s="1">
        <v>1.9454267895805694E-3</v>
      </c>
    </row>
    <row r="916" spans="1:19" x14ac:dyDescent="0.3">
      <c r="A916" s="1">
        <v>239</v>
      </c>
      <c r="B916" s="1" t="s">
        <v>3155</v>
      </c>
      <c r="C916" s="1" t="s">
        <v>3156</v>
      </c>
      <c r="D916" s="1">
        <v>21.222000000000001</v>
      </c>
      <c r="E916" s="1" t="s">
        <v>3157</v>
      </c>
      <c r="F916" s="1" t="s">
        <v>3158</v>
      </c>
      <c r="G916" s="1">
        <v>615.22582</v>
      </c>
      <c r="H916" s="2">
        <v>2751440.3214801699</v>
      </c>
      <c r="I916" s="1" t="s">
        <v>23</v>
      </c>
      <c r="J916" s="1">
        <v>615.71109999999999</v>
      </c>
      <c r="K916" s="1">
        <v>616.23308999999995</v>
      </c>
      <c r="L916" s="7">
        <f>G916-J916</f>
        <v>-0.48527999999998883</v>
      </c>
      <c r="M916" s="1" t="s">
        <v>24</v>
      </c>
      <c r="N916" s="2">
        <v>1398875.6239631199</v>
      </c>
      <c r="O916" s="1">
        <v>1803313.1879676899</v>
      </c>
      <c r="P916" s="1">
        <v>1714376.4778958601</v>
      </c>
      <c r="Q916" s="1">
        <f>STDEV(N916:P916)</f>
        <v>212532.45650513002</v>
      </c>
      <c r="R916" s="1">
        <v>1638855.0966088902</v>
      </c>
      <c r="S916" s="1">
        <v>2.0097571720062699E-3</v>
      </c>
    </row>
    <row r="917" spans="1:19" x14ac:dyDescent="0.3">
      <c r="A917" s="1">
        <v>880</v>
      </c>
      <c r="B917" s="1" t="s">
        <v>3899</v>
      </c>
      <c r="C917" s="1" t="s">
        <v>3900</v>
      </c>
      <c r="D917" s="1">
        <v>5.6120000000000001</v>
      </c>
      <c r="E917" s="1" t="s">
        <v>3901</v>
      </c>
      <c r="F917" s="1" t="s">
        <v>3902</v>
      </c>
      <c r="G917" s="1">
        <v>464.15068000000002</v>
      </c>
      <c r="H917" s="2">
        <v>747995.00238860899</v>
      </c>
      <c r="I917" s="1" t="s">
        <v>17</v>
      </c>
      <c r="J917" s="1">
        <v>464.63619999999997</v>
      </c>
      <c r="K917" s="1">
        <v>463.14341000000002</v>
      </c>
      <c r="L917" s="7">
        <f>G917-J917</f>
        <v>-0.48551999999995132</v>
      </c>
      <c r="M917" s="1" t="s">
        <v>24</v>
      </c>
      <c r="N917" s="2">
        <v>637180.94775420101</v>
      </c>
      <c r="O917" s="1">
        <v>747995.00238860899</v>
      </c>
      <c r="P917" s="1">
        <v>647090.45668855403</v>
      </c>
      <c r="Q917" s="1">
        <f>STDEV(N917:P917)</f>
        <v>61318.404543785568</v>
      </c>
      <c r="R917" s="1">
        <v>677422.13561045472</v>
      </c>
      <c r="S917" s="1">
        <v>8.3073482111751563E-4</v>
      </c>
    </row>
    <row r="918" spans="1:19" x14ac:dyDescent="0.3">
      <c r="A918" s="1">
        <v>866</v>
      </c>
      <c r="B918" s="1" t="s">
        <v>4190</v>
      </c>
      <c r="C918" s="1" t="s">
        <v>4191</v>
      </c>
      <c r="D918" s="1">
        <v>20.283999999999999</v>
      </c>
      <c r="E918" s="1" t="s">
        <v>4192</v>
      </c>
      <c r="F918" s="1" t="s">
        <v>4193</v>
      </c>
      <c r="G918" s="1">
        <v>600.38454999999999</v>
      </c>
      <c r="H918" s="2">
        <v>10537669.5555955</v>
      </c>
      <c r="I918" s="1" t="s">
        <v>398</v>
      </c>
      <c r="J918" s="1">
        <v>600.87023999999997</v>
      </c>
      <c r="K918" s="1">
        <v>618.41936999999996</v>
      </c>
      <c r="L918" s="7">
        <f>G918-J918</f>
        <v>-0.48568999999997686</v>
      </c>
      <c r="M918" s="1" t="s">
        <v>24</v>
      </c>
      <c r="N918" s="2">
        <v>370806.95392663497</v>
      </c>
      <c r="O918" s="1">
        <v>519362.67653797002</v>
      </c>
      <c r="P918" s="1">
        <v>391377.82245103997</v>
      </c>
      <c r="Q918" s="1">
        <f>STDEV(N918:P918)</f>
        <v>80490.254304561051</v>
      </c>
      <c r="R918" s="1">
        <v>427182.48430521501</v>
      </c>
      <c r="S918" s="1">
        <v>5.2386148315634103E-4</v>
      </c>
    </row>
    <row r="919" spans="1:19" x14ac:dyDescent="0.3">
      <c r="A919" s="1">
        <v>859</v>
      </c>
      <c r="B919" s="1" t="s">
        <v>3889</v>
      </c>
      <c r="C919" s="1" t="s">
        <v>3890</v>
      </c>
      <c r="D919" s="1">
        <v>19.745000000000001</v>
      </c>
      <c r="E919" s="1" t="s">
        <v>3891</v>
      </c>
      <c r="F919" s="1" t="s">
        <v>3892</v>
      </c>
      <c r="G919" s="1">
        <v>600.3827</v>
      </c>
      <c r="H919" s="2">
        <v>1105278.5101991</v>
      </c>
      <c r="I919" s="1" t="s">
        <v>23</v>
      </c>
      <c r="J919" s="1">
        <v>600.87023999999997</v>
      </c>
      <c r="K919" s="1">
        <v>601.38998000000004</v>
      </c>
      <c r="L919" s="7">
        <f>G919-J919</f>
        <v>-0.48753999999996722</v>
      </c>
      <c r="M919" s="1" t="s">
        <v>3893</v>
      </c>
      <c r="N919" s="2">
        <v>1105278.5101991</v>
      </c>
      <c r="O919" s="1">
        <v>724574.59683831397</v>
      </c>
      <c r="P919" s="1">
        <v>234873.202428544</v>
      </c>
      <c r="Q919" s="1">
        <f>STDEV(N919:P919)</f>
        <v>436338.61566644302</v>
      </c>
      <c r="R919" s="1">
        <v>688242.10315531923</v>
      </c>
      <c r="S919" s="1">
        <v>8.4400353988292826E-4</v>
      </c>
    </row>
    <row r="920" spans="1:19" x14ac:dyDescent="0.3">
      <c r="A920" s="1">
        <v>832</v>
      </c>
      <c r="B920" s="1" t="s">
        <v>2551</v>
      </c>
      <c r="C920" s="1" t="s">
        <v>2552</v>
      </c>
      <c r="D920" s="1">
        <v>14.571999999999999</v>
      </c>
      <c r="E920" s="1" t="s">
        <v>2553</v>
      </c>
      <c r="F920" s="1" t="s">
        <v>2554</v>
      </c>
      <c r="G920" s="1">
        <v>1048.70615</v>
      </c>
      <c r="H920" s="2">
        <v>19728507.269416802</v>
      </c>
      <c r="I920" s="1" t="s">
        <v>290</v>
      </c>
      <c r="J920" s="1">
        <v>1049.2</v>
      </c>
      <c r="K920" s="1">
        <v>525.36035000000004</v>
      </c>
      <c r="L920" s="7">
        <f>G920-J920</f>
        <v>-0.49385000000006585</v>
      </c>
      <c r="M920" s="1" t="s">
        <v>24</v>
      </c>
      <c r="N920" s="2">
        <v>1549450.3377812</v>
      </c>
      <c r="O920" s="1">
        <v>1989879.0155226199</v>
      </c>
      <c r="P920" s="1">
        <v>6147289.8165625799</v>
      </c>
      <c r="Q920" s="1">
        <f>STDEV(N920:P920)</f>
        <v>2536998.5501710945</v>
      </c>
      <c r="R920" s="1">
        <v>3228873.0566221331</v>
      </c>
      <c r="S920" s="1">
        <v>3.9596244942409252E-3</v>
      </c>
    </row>
    <row r="921" spans="1:19" x14ac:dyDescent="0.3">
      <c r="A921" s="1">
        <v>226</v>
      </c>
      <c r="B921" s="1" t="s">
        <v>4366</v>
      </c>
      <c r="C921" s="1" t="s">
        <v>4367</v>
      </c>
      <c r="D921" s="1">
        <v>7.6340000000000003</v>
      </c>
      <c r="E921" s="1" t="s">
        <v>4368</v>
      </c>
      <c r="F921" s="1" t="s">
        <v>4369</v>
      </c>
      <c r="G921" s="1">
        <v>479.11189999999999</v>
      </c>
      <c r="H921" s="2">
        <v>2806304.2405777299</v>
      </c>
      <c r="I921" s="1" t="s">
        <v>17</v>
      </c>
      <c r="J921" s="1">
        <v>479.60624000000001</v>
      </c>
      <c r="K921" s="1">
        <v>478.10462000000001</v>
      </c>
      <c r="L921" s="7">
        <f>G921-J921</f>
        <v>-0.49434000000002243</v>
      </c>
      <c r="M921" s="1" t="s">
        <v>24</v>
      </c>
      <c r="N921" s="2">
        <v>236537.51732310801</v>
      </c>
      <c r="O921" s="1">
        <v>280771.09395045298</v>
      </c>
      <c r="P921" s="1">
        <v>271687.04643802601</v>
      </c>
      <c r="Q921" s="1">
        <f>STDEV(N921:P921)</f>
        <v>23361.715895369281</v>
      </c>
      <c r="R921" s="1">
        <v>262998.55257052899</v>
      </c>
      <c r="S921" s="1">
        <v>3.2251980565553887E-4</v>
      </c>
    </row>
    <row r="922" spans="1:19" x14ac:dyDescent="0.3">
      <c r="A922" s="1">
        <v>789</v>
      </c>
      <c r="B922" s="1" t="s">
        <v>3818</v>
      </c>
      <c r="C922" s="1" t="s">
        <v>3819</v>
      </c>
      <c r="D922" s="1">
        <v>11.625999999999999</v>
      </c>
      <c r="E922" s="1" t="s">
        <v>3820</v>
      </c>
      <c r="F922" s="1" t="s">
        <v>3821</v>
      </c>
      <c r="G922" s="1">
        <v>400.18574999999998</v>
      </c>
      <c r="H922" s="2">
        <v>3095838.4955969201</v>
      </c>
      <c r="I922" s="1" t="s">
        <v>150</v>
      </c>
      <c r="J922" s="1">
        <v>400.68011999999999</v>
      </c>
      <c r="K922" s="1">
        <v>423.17599000000001</v>
      </c>
      <c r="L922" s="7">
        <f>G922-J922</f>
        <v>-0.49437000000000353</v>
      </c>
      <c r="M922" s="1" t="s">
        <v>24</v>
      </c>
      <c r="N922" s="2">
        <v>816705.88804748096</v>
      </c>
      <c r="O922" s="1">
        <v>714670.58062667097</v>
      </c>
      <c r="P922" s="1">
        <v>706762.701612734</v>
      </c>
      <c r="Q922" s="1">
        <f>STDEV(N922:P922)</f>
        <v>61320.527767874206</v>
      </c>
      <c r="R922" s="1">
        <v>746046.39009562868</v>
      </c>
      <c r="S922" s="1">
        <v>9.1488996571238625E-4</v>
      </c>
    </row>
    <row r="923" spans="1:19" x14ac:dyDescent="0.3">
      <c r="A923" s="1">
        <v>957</v>
      </c>
      <c r="B923" s="1" t="s">
        <v>2577</v>
      </c>
      <c r="C923" s="1" t="s">
        <v>2578</v>
      </c>
      <c r="D923" s="1">
        <v>3.7080000000000002</v>
      </c>
      <c r="E923" s="1" t="s">
        <v>2579</v>
      </c>
      <c r="F923" s="1" t="s">
        <v>2580</v>
      </c>
      <c r="G923" s="1">
        <v>464.18311999999997</v>
      </c>
      <c r="H923" s="2">
        <v>4682929.9502775297</v>
      </c>
      <c r="I923" s="1" t="s">
        <v>23</v>
      </c>
      <c r="J923" s="1">
        <v>464.67772000000002</v>
      </c>
      <c r="K923" s="1">
        <v>465.19040000000001</v>
      </c>
      <c r="L923" s="7">
        <f>G923-J923</f>
        <v>-0.49460000000004811</v>
      </c>
      <c r="M923" s="1" t="s">
        <v>2581</v>
      </c>
      <c r="N923" s="2">
        <v>4562820.9348465502</v>
      </c>
      <c r="O923" s="1">
        <v>1088402.1685691299</v>
      </c>
      <c r="P923" s="1">
        <v>3354560.8861251501</v>
      </c>
      <c r="Q923" s="1">
        <f>STDEV(N923:P923)</f>
        <v>1763847.7561830594</v>
      </c>
      <c r="R923" s="1">
        <v>3001927.9965136102</v>
      </c>
      <c r="S923" s="1">
        <v>3.6813177280428234E-3</v>
      </c>
    </row>
    <row r="924" spans="1:19" x14ac:dyDescent="0.3">
      <c r="A924" s="1">
        <v>78</v>
      </c>
      <c r="B924" s="1" t="s">
        <v>3252</v>
      </c>
      <c r="C924" s="1" t="s">
        <v>3253</v>
      </c>
      <c r="D924" s="1">
        <v>6.8970000000000002</v>
      </c>
      <c r="E924" s="1" t="s">
        <v>3254</v>
      </c>
      <c r="F924" s="1" t="s">
        <v>3255</v>
      </c>
      <c r="G924" s="1">
        <v>578.15806999999995</v>
      </c>
      <c r="H924" s="2">
        <v>231257974.507034</v>
      </c>
      <c r="I924" s="1" t="s">
        <v>156</v>
      </c>
      <c r="J924" s="1">
        <v>578.65272000000004</v>
      </c>
      <c r="K924" s="1">
        <v>561.15386999999998</v>
      </c>
      <c r="L924" s="7">
        <f>G924-J924</f>
        <v>-0.4946500000000924</v>
      </c>
      <c r="M924" s="1" t="s">
        <v>3256</v>
      </c>
      <c r="N924" s="2">
        <v>1051576.0939535201</v>
      </c>
      <c r="O924" s="1">
        <v>1485199.7781895101</v>
      </c>
      <c r="P924" s="1">
        <v>1819500.9025071601</v>
      </c>
      <c r="Q924" s="1">
        <f>STDEV(N924:P924)</f>
        <v>385031.43872558925</v>
      </c>
      <c r="R924" s="1">
        <v>1452092.2582167301</v>
      </c>
      <c r="S924" s="1">
        <v>1.7807265794300504E-3</v>
      </c>
    </row>
    <row r="925" spans="1:19" x14ac:dyDescent="0.3">
      <c r="A925" s="1">
        <v>775</v>
      </c>
      <c r="B925" s="1" t="s">
        <v>930</v>
      </c>
      <c r="C925" s="1" t="s">
        <v>931</v>
      </c>
      <c r="D925" s="1">
        <v>12.153</v>
      </c>
      <c r="E925" s="1" t="s">
        <v>932</v>
      </c>
      <c r="F925" s="1" t="s">
        <v>933</v>
      </c>
      <c r="G925" s="1">
        <v>942.62545999999998</v>
      </c>
      <c r="H925" s="2">
        <v>166484744.41655001</v>
      </c>
      <c r="I925" s="1" t="s">
        <v>290</v>
      </c>
      <c r="J925" s="1">
        <v>943.12212</v>
      </c>
      <c r="K925" s="1">
        <v>472.32001000000002</v>
      </c>
      <c r="L925" s="7">
        <f>G925-J925</f>
        <v>-0.49666000000001986</v>
      </c>
      <c r="M925" s="1" t="s">
        <v>934</v>
      </c>
      <c r="N925" s="2">
        <v>44576021.194428697</v>
      </c>
      <c r="O925" s="1">
        <v>64637947.085327499</v>
      </c>
      <c r="P925" s="1">
        <v>29944864.326049302</v>
      </c>
      <c r="Q925" s="1">
        <f>STDEV(N925:P925)</f>
        <v>17417240.563596606</v>
      </c>
      <c r="R925" s="1">
        <v>46386277.535268493</v>
      </c>
      <c r="S925" s="1">
        <v>5.6884317687439324E-2</v>
      </c>
    </row>
    <row r="926" spans="1:19" x14ac:dyDescent="0.3">
      <c r="A926" s="1">
        <v>146</v>
      </c>
      <c r="B926" s="1" t="s">
        <v>2193</v>
      </c>
      <c r="C926" s="1" t="s">
        <v>2194</v>
      </c>
      <c r="D926" s="1">
        <v>12.529</v>
      </c>
      <c r="E926" s="1" t="s">
        <v>2195</v>
      </c>
      <c r="F926" s="1" t="s">
        <v>2196</v>
      </c>
      <c r="G926" s="1">
        <v>810.47691999999995</v>
      </c>
      <c r="H926" s="2">
        <v>9246759.2636887506</v>
      </c>
      <c r="I926" s="1" t="s">
        <v>290</v>
      </c>
      <c r="J926" s="1">
        <v>810.97411999999997</v>
      </c>
      <c r="K926" s="1">
        <v>406.24574000000001</v>
      </c>
      <c r="L926" s="7">
        <f>G926-J926</f>
        <v>-0.49720000000002074</v>
      </c>
      <c r="M926" s="1" t="s">
        <v>2197</v>
      </c>
      <c r="N926" s="2">
        <v>9246759.2636887506</v>
      </c>
      <c r="O926" s="1">
        <v>7275279.9125230303</v>
      </c>
      <c r="P926" s="1">
        <v>597414.30617427803</v>
      </c>
      <c r="Q926" s="1">
        <f>STDEV(N926:P926)</f>
        <v>4533059.8216989776</v>
      </c>
      <c r="R926" s="1">
        <v>5706484.4941286864</v>
      </c>
      <c r="S926" s="1">
        <v>6.9979634946058132E-3</v>
      </c>
    </row>
    <row r="927" spans="1:19" x14ac:dyDescent="0.3">
      <c r="A927" s="1">
        <v>110</v>
      </c>
      <c r="B927" s="1" t="s">
        <v>467</v>
      </c>
      <c r="C927" s="1" t="s">
        <v>468</v>
      </c>
      <c r="D927" s="1">
        <v>7.7140000000000004</v>
      </c>
      <c r="E927" s="1" t="s">
        <v>469</v>
      </c>
      <c r="F927" s="1" t="s">
        <v>470</v>
      </c>
      <c r="G927" s="1">
        <v>810.47631999999999</v>
      </c>
      <c r="H927" s="2">
        <v>118978398.44678099</v>
      </c>
      <c r="I927" s="1" t="s">
        <v>290</v>
      </c>
      <c r="J927" s="1">
        <v>810.97411999999997</v>
      </c>
      <c r="K927" s="1">
        <v>406.24543999999997</v>
      </c>
      <c r="L927" s="7">
        <f>G927-J927</f>
        <v>-0.49779999999998381</v>
      </c>
      <c r="M927" s="1" t="s">
        <v>471</v>
      </c>
      <c r="N927" s="2">
        <v>118978398.44678099</v>
      </c>
      <c r="O927" s="1">
        <v>107079439.66356</v>
      </c>
      <c r="P927" s="1">
        <v>114088070.457085</v>
      </c>
      <c r="Q927" s="1">
        <f>STDEV(N927:P927)</f>
        <v>5980822.5963148642</v>
      </c>
      <c r="R927" s="1">
        <v>113381969.52247535</v>
      </c>
      <c r="S927" s="1">
        <v>0.13904232710719755</v>
      </c>
    </row>
    <row r="928" spans="1:19" x14ac:dyDescent="0.3">
      <c r="A928" s="1">
        <v>367</v>
      </c>
      <c r="B928" s="1" t="s">
        <v>1028</v>
      </c>
      <c r="C928" s="1" t="s">
        <v>1029</v>
      </c>
      <c r="D928" s="1">
        <v>1.6060000000000001</v>
      </c>
      <c r="E928" s="1" t="s">
        <v>1030</v>
      </c>
      <c r="F928" s="1" t="s">
        <v>1031</v>
      </c>
      <c r="G928" s="1">
        <v>525.13271999999995</v>
      </c>
      <c r="H928" s="2">
        <v>47138811.708339699</v>
      </c>
      <c r="I928" s="1" t="s">
        <v>17</v>
      </c>
      <c r="J928" s="1">
        <v>525.63162</v>
      </c>
      <c r="K928" s="1">
        <v>524.12544000000003</v>
      </c>
      <c r="L928" s="7">
        <f>G928-J928</f>
        <v>-0.49890000000004875</v>
      </c>
      <c r="M928" s="1" t="s">
        <v>1032</v>
      </c>
      <c r="N928" s="2">
        <v>34073061.7723528</v>
      </c>
      <c r="O928" s="1">
        <v>47138811.708339699</v>
      </c>
      <c r="P928" s="1">
        <v>39153426.245389499</v>
      </c>
      <c r="Q928" s="1">
        <f>STDEV(N928:P928)</f>
        <v>6586479.90913371</v>
      </c>
      <c r="R928" s="1">
        <v>40121766.575360663</v>
      </c>
      <c r="S928" s="1">
        <v>4.9202036406538953E-2</v>
      </c>
    </row>
    <row r="929" spans="1:19" x14ac:dyDescent="0.3">
      <c r="A929" s="1">
        <v>941</v>
      </c>
      <c r="B929" s="1" t="s">
        <v>4172</v>
      </c>
      <c r="C929" s="1" t="s">
        <v>4173</v>
      </c>
      <c r="D929" s="1">
        <v>9.8759999999999994</v>
      </c>
      <c r="E929" s="1" t="s">
        <v>4174</v>
      </c>
      <c r="F929" s="1" t="s">
        <v>4175</v>
      </c>
      <c r="G929" s="1">
        <v>416.18009999999998</v>
      </c>
      <c r="H929" s="2">
        <v>3332347.4414866199</v>
      </c>
      <c r="I929" s="1" t="s">
        <v>23</v>
      </c>
      <c r="J929" s="1">
        <v>416.67952000000002</v>
      </c>
      <c r="K929" s="1">
        <v>417.18673999999999</v>
      </c>
      <c r="L929" s="7">
        <f>G929-J929</f>
        <v>-0.49942000000004327</v>
      </c>
      <c r="M929" s="1" t="s">
        <v>24</v>
      </c>
      <c r="N929" s="2">
        <v>394990.89036779501</v>
      </c>
      <c r="O929" s="1">
        <v>440892.17577594798</v>
      </c>
      <c r="P929" s="1">
        <v>516264.32659747603</v>
      </c>
      <c r="Q929" s="1">
        <f>STDEV(N929:P929)</f>
        <v>61230.623406562561</v>
      </c>
      <c r="R929" s="1">
        <v>450715.79758040636</v>
      </c>
      <c r="S929" s="1">
        <v>5.5272080405283216E-4</v>
      </c>
    </row>
    <row r="930" spans="1:19" x14ac:dyDescent="0.3">
      <c r="A930" s="1">
        <v>373</v>
      </c>
      <c r="B930" s="1" t="s">
        <v>2180</v>
      </c>
      <c r="C930" s="1" t="s">
        <v>2181</v>
      </c>
      <c r="D930" s="1">
        <v>6.34</v>
      </c>
      <c r="E930" s="1" t="s">
        <v>2182</v>
      </c>
      <c r="F930" s="1" t="s">
        <v>2183</v>
      </c>
      <c r="G930" s="1">
        <v>413.12970000000001</v>
      </c>
      <c r="H930" s="2">
        <v>10347201.0341658</v>
      </c>
      <c r="I930" s="1" t="s">
        <v>23</v>
      </c>
      <c r="J930" s="1">
        <v>413.63582000000002</v>
      </c>
      <c r="K930" s="1">
        <v>414.13697999999999</v>
      </c>
      <c r="L930" s="7">
        <f>G930-J930</f>
        <v>-0.5061200000000099</v>
      </c>
      <c r="M930" s="1" t="s">
        <v>24</v>
      </c>
      <c r="N930" s="2">
        <v>1839316.2851447901</v>
      </c>
      <c r="O930" s="1">
        <v>10347201.0341658</v>
      </c>
      <c r="P930" s="1">
        <v>5399226.48479548</v>
      </c>
      <c r="Q930" s="1">
        <f>STDEV(N930:P930)</f>
        <v>4272772.6297533792</v>
      </c>
      <c r="R930" s="1">
        <v>5861914.6013686908</v>
      </c>
      <c r="S930" s="1">
        <v>7.1885702013352081E-3</v>
      </c>
    </row>
    <row r="931" spans="1:19" x14ac:dyDescent="0.3">
      <c r="A931" s="1">
        <v>828</v>
      </c>
      <c r="B931" s="1" t="s">
        <v>3404</v>
      </c>
      <c r="C931" s="1" t="s">
        <v>3405</v>
      </c>
      <c r="D931" s="1">
        <v>19.841000000000001</v>
      </c>
      <c r="E931" s="1" t="s">
        <v>3406</v>
      </c>
      <c r="F931" s="1" t="s">
        <v>3407</v>
      </c>
      <c r="G931" s="1">
        <v>886.55247999999995</v>
      </c>
      <c r="H931" s="2">
        <v>14698851.801996401</v>
      </c>
      <c r="I931" s="1" t="s">
        <v>23</v>
      </c>
      <c r="J931" s="1">
        <v>887.05885999999998</v>
      </c>
      <c r="K931" s="1">
        <v>887.55975000000001</v>
      </c>
      <c r="L931" s="7">
        <f>G931-J931</f>
        <v>-0.50638000000003558</v>
      </c>
      <c r="M931" s="1" t="s">
        <v>3408</v>
      </c>
      <c r="N931" s="2">
        <v>967301.819805798</v>
      </c>
      <c r="O931" s="1">
        <v>1255614.6535453501</v>
      </c>
      <c r="P931" s="1">
        <v>1196827.3404455399</v>
      </c>
      <c r="Q931" s="1">
        <f>STDEV(N931:P931)</f>
        <v>152349.49015633515</v>
      </c>
      <c r="R931" s="1">
        <v>1139914.6045988959</v>
      </c>
      <c r="S931" s="1">
        <v>1.3978975669098181E-3</v>
      </c>
    </row>
    <row r="932" spans="1:19" x14ac:dyDescent="0.3">
      <c r="A932" s="1">
        <v>499</v>
      </c>
      <c r="B932" s="1" t="s">
        <v>2688</v>
      </c>
      <c r="C932" s="1" t="s">
        <v>2689</v>
      </c>
      <c r="D932" s="1">
        <v>13.567</v>
      </c>
      <c r="E932" s="1" t="s">
        <v>2690</v>
      </c>
      <c r="F932" s="1" t="s">
        <v>2691</v>
      </c>
      <c r="G932" s="1">
        <v>354.27440000000001</v>
      </c>
      <c r="H932" s="2">
        <v>4806661.7108475398</v>
      </c>
      <c r="I932" s="1" t="s">
        <v>23</v>
      </c>
      <c r="J932" s="1">
        <v>354.78215999999998</v>
      </c>
      <c r="K932" s="1">
        <v>355.28167999999999</v>
      </c>
      <c r="L932" s="7">
        <f>G932-J932</f>
        <v>-0.50775999999996202</v>
      </c>
      <c r="M932" s="1" t="s">
        <v>2692</v>
      </c>
      <c r="N932" s="2">
        <v>4580558.3239199799</v>
      </c>
      <c r="O932" s="1">
        <v>2882532.84115597</v>
      </c>
      <c r="P932" s="1">
        <v>835953.23537068302</v>
      </c>
      <c r="Q932" s="1">
        <f>STDEV(N932:P932)</f>
        <v>1875004.2618672226</v>
      </c>
      <c r="R932" s="1">
        <v>2766348.1334822108</v>
      </c>
      <c r="S932" s="1">
        <v>3.3924219493450679E-3</v>
      </c>
    </row>
    <row r="933" spans="1:19" x14ac:dyDescent="0.3">
      <c r="A933" s="1">
        <v>801</v>
      </c>
      <c r="B933" s="1" t="s">
        <v>4407</v>
      </c>
      <c r="C933" s="1" t="s">
        <v>4408</v>
      </c>
      <c r="D933" s="1">
        <v>6.0190000000000001</v>
      </c>
      <c r="E933" s="1" t="s">
        <v>4409</v>
      </c>
      <c r="F933" s="1" t="s">
        <v>4410</v>
      </c>
      <c r="G933" s="1">
        <v>400.17113000000001</v>
      </c>
      <c r="H933" s="2">
        <v>18688963.646598801</v>
      </c>
      <c r="I933" s="1" t="s">
        <v>17</v>
      </c>
      <c r="J933" s="1">
        <v>400.68011999999999</v>
      </c>
      <c r="K933" s="1">
        <v>399.16385000000002</v>
      </c>
      <c r="L933" s="7">
        <f>G933-J933</f>
        <v>-0.50898999999998296</v>
      </c>
      <c r="M933" s="1" t="s">
        <v>4411</v>
      </c>
      <c r="N933" s="2">
        <v>238373.40224702199</v>
      </c>
      <c r="O933" s="1">
        <v>250687.36010389999</v>
      </c>
      <c r="P933" s="1">
        <v>227564.689663433</v>
      </c>
      <c r="Q933" s="1">
        <f>STDEV(N933:P933)</f>
        <v>11569.498074059855</v>
      </c>
      <c r="R933" s="1">
        <v>238875.15067145167</v>
      </c>
      <c r="S933" s="1">
        <v>2.9293684857764992E-4</v>
      </c>
    </row>
    <row r="934" spans="1:19" x14ac:dyDescent="0.3">
      <c r="A934" s="1">
        <v>849</v>
      </c>
      <c r="B934" s="1" t="s">
        <v>581</v>
      </c>
      <c r="C934" s="1" t="s">
        <v>582</v>
      </c>
      <c r="D934" s="1">
        <v>11.663</v>
      </c>
      <c r="E934" s="1" t="s">
        <v>583</v>
      </c>
      <c r="F934" s="1" t="s">
        <v>584</v>
      </c>
      <c r="G934" s="1">
        <v>550.34688000000006</v>
      </c>
      <c r="H934" s="2">
        <v>225412421.181842</v>
      </c>
      <c r="I934" s="1" t="s">
        <v>23</v>
      </c>
      <c r="J934" s="1">
        <v>550.85616000000005</v>
      </c>
      <c r="K934" s="1">
        <v>551.35410999999999</v>
      </c>
      <c r="L934" s="7">
        <f>G934-J934</f>
        <v>-0.50927999999998974</v>
      </c>
      <c r="M934" s="1" t="s">
        <v>585</v>
      </c>
      <c r="N934" s="2">
        <v>139011122.05313799</v>
      </c>
      <c r="O934" s="1">
        <v>86745139.024285495</v>
      </c>
      <c r="P934" s="1">
        <v>34462958.482274197</v>
      </c>
      <c r="Q934" s="1">
        <f>STDEV(N934:P934)</f>
        <v>52274081.994553573</v>
      </c>
      <c r="R934" s="1">
        <v>86739739.853232563</v>
      </c>
      <c r="S934" s="1">
        <v>0.10637048670666871</v>
      </c>
    </row>
    <row r="935" spans="1:19" x14ac:dyDescent="0.3">
      <c r="A935" s="1">
        <v>155</v>
      </c>
      <c r="B935" s="1" t="s">
        <v>3296</v>
      </c>
      <c r="C935" s="1" t="s">
        <v>3297</v>
      </c>
      <c r="D935" s="1">
        <v>6.8659999999999997</v>
      </c>
      <c r="E935" s="1" t="s">
        <v>3298</v>
      </c>
      <c r="F935" s="1" t="s">
        <v>3299</v>
      </c>
      <c r="G935" s="1">
        <v>500.16268000000002</v>
      </c>
      <c r="H935" s="2">
        <v>3585645.32800083</v>
      </c>
      <c r="I935" s="1" t="s">
        <v>23</v>
      </c>
      <c r="J935" s="1">
        <v>500.67336</v>
      </c>
      <c r="K935" s="1">
        <v>501.16994999999997</v>
      </c>
      <c r="L935" s="7">
        <f>G935-J935</f>
        <v>-0.51067999999997937</v>
      </c>
      <c r="M935" s="1" t="s">
        <v>3300</v>
      </c>
      <c r="N935" s="2">
        <v>923131.64836496802</v>
      </c>
      <c r="O935" s="1">
        <v>1355236.2202296399</v>
      </c>
      <c r="P935" s="1">
        <v>1660284.0655040799</v>
      </c>
      <c r="Q935" s="1">
        <f>STDEV(N935:P935)</f>
        <v>370396.68713127979</v>
      </c>
      <c r="R935" s="1">
        <v>1312883.9780328961</v>
      </c>
      <c r="S935" s="1">
        <v>1.6100129879227675E-3</v>
      </c>
    </row>
    <row r="936" spans="1:19" x14ac:dyDescent="0.3">
      <c r="A936" s="1">
        <v>40</v>
      </c>
      <c r="B936" s="1" t="s">
        <v>3880</v>
      </c>
      <c r="C936" s="1" t="s">
        <v>3881</v>
      </c>
      <c r="D936" s="1">
        <v>6.7320000000000002</v>
      </c>
      <c r="E936" s="1" t="s">
        <v>3882</v>
      </c>
      <c r="F936" s="1" t="s">
        <v>3883</v>
      </c>
      <c r="G936" s="1">
        <v>716.35343</v>
      </c>
      <c r="H936" s="2">
        <v>6428963.4980880497</v>
      </c>
      <c r="I936" s="1" t="s">
        <v>290</v>
      </c>
      <c r="J936" s="1">
        <v>716.86442</v>
      </c>
      <c r="K936" s="1">
        <v>359.18398999999999</v>
      </c>
      <c r="L936" s="7">
        <f>G936-J936</f>
        <v>-0.51098999999999251</v>
      </c>
      <c r="M936" s="1" t="s">
        <v>3884</v>
      </c>
      <c r="N936" s="2">
        <v>548957.76683298498</v>
      </c>
      <c r="O936" s="1">
        <v>697546.98260794405</v>
      </c>
      <c r="P936" s="1">
        <v>835341.160362656</v>
      </c>
      <c r="Q936" s="1">
        <f>STDEV(N936:P936)</f>
        <v>143225.60208594336</v>
      </c>
      <c r="R936" s="1">
        <v>693948.63660119497</v>
      </c>
      <c r="S936" s="1">
        <v>8.5100156340793271E-4</v>
      </c>
    </row>
    <row r="937" spans="1:19" x14ac:dyDescent="0.3">
      <c r="A937" s="1">
        <v>380</v>
      </c>
      <c r="B937" s="1" t="s">
        <v>302</v>
      </c>
      <c r="C937" s="1" t="s">
        <v>303</v>
      </c>
      <c r="D937" s="1">
        <v>0.76</v>
      </c>
      <c r="E937" s="1" t="s">
        <v>304</v>
      </c>
      <c r="F937" s="1" t="s">
        <v>305</v>
      </c>
      <c r="G937" s="1">
        <v>431.13733000000002</v>
      </c>
      <c r="H937" s="2">
        <v>194176658.99748501</v>
      </c>
      <c r="I937" s="1" t="s">
        <v>23</v>
      </c>
      <c r="J937" s="1">
        <v>431.65109999999999</v>
      </c>
      <c r="K937" s="1">
        <v>432.14461</v>
      </c>
      <c r="L937" s="7">
        <f>G937-J937</f>
        <v>-0.51376999999996542</v>
      </c>
      <c r="M937" s="1" t="s">
        <v>306</v>
      </c>
      <c r="N937" s="2">
        <v>194176658.99748501</v>
      </c>
      <c r="O937" s="1">
        <v>173793704.04284701</v>
      </c>
      <c r="P937" s="1">
        <v>180217832.85229</v>
      </c>
      <c r="Q937" s="1">
        <f>STDEV(N937:P937)</f>
        <v>10420997.321073268</v>
      </c>
      <c r="R937" s="1">
        <v>182729398.63087401</v>
      </c>
      <c r="S937" s="1">
        <v>0.22408431361301326</v>
      </c>
    </row>
    <row r="938" spans="1:19" x14ac:dyDescent="0.3">
      <c r="A938" s="1">
        <v>55</v>
      </c>
      <c r="B938" s="1" t="s">
        <v>3346</v>
      </c>
      <c r="C938" s="1" t="s">
        <v>3347</v>
      </c>
      <c r="D938" s="1">
        <v>5.2619999999999996</v>
      </c>
      <c r="E938" s="1" t="s">
        <v>3348</v>
      </c>
      <c r="F938" s="1" t="s">
        <v>3349</v>
      </c>
      <c r="G938" s="1">
        <v>564.20294000000001</v>
      </c>
      <c r="H938" s="2">
        <v>1738678.07291349</v>
      </c>
      <c r="I938" s="1" t="s">
        <v>17</v>
      </c>
      <c r="J938" s="1">
        <v>564.71709999999996</v>
      </c>
      <c r="K938" s="1">
        <v>563.19501000000002</v>
      </c>
      <c r="L938" s="7">
        <f>G938-J938</f>
        <v>-0.5141599999999471</v>
      </c>
      <c r="M938" s="1" t="s">
        <v>24</v>
      </c>
      <c r="N938" s="2">
        <v>299510.17521916598</v>
      </c>
      <c r="O938" s="1">
        <v>1635332.6751469199</v>
      </c>
      <c r="P938" s="1">
        <v>1738678.07291349</v>
      </c>
      <c r="Q938" s="1">
        <f>STDEV(N938:P938)</f>
        <v>802735.55839876516</v>
      </c>
      <c r="R938" s="1">
        <v>1224506.9744265254</v>
      </c>
      <c r="S938" s="1">
        <v>1.5016346955369121E-3</v>
      </c>
    </row>
    <row r="939" spans="1:19" x14ac:dyDescent="0.3">
      <c r="A939" s="1">
        <v>243</v>
      </c>
      <c r="B939" s="1" t="s">
        <v>3059</v>
      </c>
      <c r="C939" s="1" t="s">
        <v>3060</v>
      </c>
      <c r="D939" s="1">
        <v>6.891</v>
      </c>
      <c r="E939" s="1" t="s">
        <v>3061</v>
      </c>
      <c r="F939" s="1" t="s">
        <v>3062</v>
      </c>
      <c r="G939" s="1">
        <v>675.24717999999996</v>
      </c>
      <c r="H939" s="2">
        <v>86713212.249217197</v>
      </c>
      <c r="I939" s="1" t="s">
        <v>23</v>
      </c>
      <c r="J939" s="1">
        <v>675.76306</v>
      </c>
      <c r="K939" s="1">
        <v>676.25445999999999</v>
      </c>
      <c r="L939" s="7">
        <f>G939-J939</f>
        <v>-0.51588000000003831</v>
      </c>
      <c r="M939" s="1" t="s">
        <v>3063</v>
      </c>
      <c r="N939" s="2">
        <v>1309937.1498227201</v>
      </c>
      <c r="O939" s="1">
        <v>1850097.55884095</v>
      </c>
      <c r="P939" s="1">
        <v>2266532.9119163598</v>
      </c>
      <c r="Q939" s="1">
        <f>STDEV(N939:P939)</f>
        <v>479629.5658834512</v>
      </c>
      <c r="R939" s="1">
        <v>1808855.8735266768</v>
      </c>
      <c r="S939" s="1">
        <v>2.2182321502786755E-3</v>
      </c>
    </row>
    <row r="940" spans="1:19" x14ac:dyDescent="0.3">
      <c r="A940" s="1">
        <v>353</v>
      </c>
      <c r="B940" s="1" t="s">
        <v>2613</v>
      </c>
      <c r="C940" s="1" t="s">
        <v>2614</v>
      </c>
      <c r="D940" s="1">
        <v>8.2279999999999998</v>
      </c>
      <c r="E940" s="1" t="s">
        <v>2615</v>
      </c>
      <c r="F940" s="1" t="s">
        <v>2616</v>
      </c>
      <c r="G940" s="1">
        <v>386.09769999999997</v>
      </c>
      <c r="H940" s="2">
        <v>36567598.149388999</v>
      </c>
      <c r="I940" s="1" t="s">
        <v>17</v>
      </c>
      <c r="J940" s="1">
        <v>386.61378000000002</v>
      </c>
      <c r="K940" s="1">
        <v>385.09041999999999</v>
      </c>
      <c r="L940" s="7">
        <f>G940-J940</f>
        <v>-0.51608000000004495</v>
      </c>
      <c r="M940" s="1" t="s">
        <v>2617</v>
      </c>
      <c r="N940" s="2">
        <v>4304973.1570091899</v>
      </c>
      <c r="O940" s="1">
        <v>941784.99769956397</v>
      </c>
      <c r="P940" s="1">
        <v>3489961.6332294801</v>
      </c>
      <c r="Q940" s="1">
        <f>STDEV(N940:P940)</f>
        <v>1754445.9023043322</v>
      </c>
      <c r="R940" s="1">
        <v>2912239.9293127446</v>
      </c>
      <c r="S940" s="1">
        <v>3.5713316550377758E-3</v>
      </c>
    </row>
    <row r="941" spans="1:19" x14ac:dyDescent="0.3">
      <c r="A941" s="1">
        <v>263</v>
      </c>
      <c r="B941" s="1" t="s">
        <v>2984</v>
      </c>
      <c r="C941" s="1" t="s">
        <v>2985</v>
      </c>
      <c r="D941" s="1">
        <v>14.115</v>
      </c>
      <c r="E941" s="1" t="s">
        <v>2986</v>
      </c>
      <c r="F941" s="1" t="s">
        <v>2987</v>
      </c>
      <c r="G941" s="1">
        <v>606.40629999999999</v>
      </c>
      <c r="H941" s="2">
        <v>31822239.874606699</v>
      </c>
      <c r="I941" s="1" t="s">
        <v>23</v>
      </c>
      <c r="J941" s="1">
        <v>606.92272000000003</v>
      </c>
      <c r="K941" s="1">
        <v>607.41357000000005</v>
      </c>
      <c r="L941" s="7">
        <f>G941-J941</f>
        <v>-0.51642000000003918</v>
      </c>
      <c r="M941" s="1" t="s">
        <v>2988</v>
      </c>
      <c r="N941" s="2">
        <v>3595761.2316299998</v>
      </c>
      <c r="O941" s="1">
        <v>1397640.7379012599</v>
      </c>
      <c r="P941" s="1">
        <v>910595.01875586098</v>
      </c>
      <c r="Q941" s="1">
        <f>STDEV(N941:P941)</f>
        <v>1430563.1075587557</v>
      </c>
      <c r="R941" s="1">
        <v>1967998.9960957067</v>
      </c>
      <c r="S941" s="1">
        <v>2.4133921937873359E-3</v>
      </c>
    </row>
    <row r="942" spans="1:19" x14ac:dyDescent="0.3">
      <c r="A942" s="1">
        <v>304</v>
      </c>
      <c r="B942" s="1" t="s">
        <v>2633</v>
      </c>
      <c r="C942" s="1" t="s">
        <v>2634</v>
      </c>
      <c r="D942" s="1">
        <v>21.37</v>
      </c>
      <c r="E942" s="1" t="s">
        <v>2635</v>
      </c>
      <c r="F942" s="1" t="s">
        <v>2636</v>
      </c>
      <c r="G942" s="1">
        <v>450.05723</v>
      </c>
      <c r="H942" s="2">
        <v>18396968.6852214</v>
      </c>
      <c r="I942" s="1" t="s">
        <v>17</v>
      </c>
      <c r="J942" s="1">
        <v>450.57492000000002</v>
      </c>
      <c r="K942" s="1">
        <v>449.04996</v>
      </c>
      <c r="L942" s="7">
        <f>G942-J942</f>
        <v>-0.51769000000001597</v>
      </c>
      <c r="M942" s="1" t="s">
        <v>2637</v>
      </c>
      <c r="N942" s="2">
        <v>4186205.5898620798</v>
      </c>
      <c r="O942" s="1">
        <v>2852040.26116976</v>
      </c>
      <c r="P942" s="1">
        <v>1590483.60019246</v>
      </c>
      <c r="Q942" s="1">
        <f>STDEV(N942:P942)</f>
        <v>1298030.2372438081</v>
      </c>
      <c r="R942" s="1">
        <v>2876243.1504080999</v>
      </c>
      <c r="S942" s="1">
        <v>3.5271881644250731E-3</v>
      </c>
    </row>
    <row r="943" spans="1:19" x14ac:dyDescent="0.3">
      <c r="A943" s="1">
        <v>944</v>
      </c>
      <c r="B943" s="1" t="s">
        <v>4047</v>
      </c>
      <c r="C943" s="1" t="s">
        <v>4048</v>
      </c>
      <c r="D943" s="1">
        <v>7.1360000000000001</v>
      </c>
      <c r="E943" s="1"/>
      <c r="F943" s="1" t="s">
        <v>4049</v>
      </c>
      <c r="G943" s="1">
        <v>400.17124000000001</v>
      </c>
      <c r="H943" s="2">
        <v>49330853.992009103</v>
      </c>
      <c r="I943" s="1" t="s">
        <v>17</v>
      </c>
      <c r="J943" s="1">
        <v>400.69</v>
      </c>
      <c r="K943" s="1">
        <v>399.16397000000001</v>
      </c>
      <c r="L943" s="7">
        <f>G943-J943</f>
        <v>-0.51875999999998612</v>
      </c>
      <c r="M943" s="1" t="s">
        <v>4050</v>
      </c>
      <c r="N943" s="2">
        <v>771023.82653420197</v>
      </c>
      <c r="O943" s="1">
        <v>256487.74057821301</v>
      </c>
      <c r="P943" s="1">
        <v>699280.42354560096</v>
      </c>
      <c r="Q943" s="1">
        <f>STDEV(N943:P943)</f>
        <v>278675.39650782209</v>
      </c>
      <c r="R943" s="1">
        <v>575597.33021933865</v>
      </c>
      <c r="S943" s="1">
        <v>7.058652500697857E-4</v>
      </c>
    </row>
    <row r="944" spans="1:19" x14ac:dyDescent="0.3">
      <c r="A944" s="1">
        <v>370</v>
      </c>
      <c r="B944" s="1" t="s">
        <v>2997</v>
      </c>
      <c r="C944" s="1" t="s">
        <v>2998</v>
      </c>
      <c r="D944" s="1">
        <v>1.089</v>
      </c>
      <c r="E944" s="1" t="s">
        <v>2999</v>
      </c>
      <c r="F944" s="1" t="s">
        <v>3000</v>
      </c>
      <c r="G944" s="1">
        <v>397.11684000000002</v>
      </c>
      <c r="H944" s="2">
        <v>3619990.4855942698</v>
      </c>
      <c r="I944" s="1" t="s">
        <v>23</v>
      </c>
      <c r="J944" s="1">
        <v>397.63641999999999</v>
      </c>
      <c r="K944" s="1">
        <v>398.12410999999997</v>
      </c>
      <c r="L944" s="7">
        <f>G944-J944</f>
        <v>-0.51957999999996218</v>
      </c>
      <c r="M944" s="1" t="s">
        <v>24</v>
      </c>
      <c r="N944" s="2">
        <v>3619990.4855942698</v>
      </c>
      <c r="O944" s="1">
        <v>1136056.7106309</v>
      </c>
      <c r="P944" s="1">
        <v>1084556.39077703</v>
      </c>
      <c r="Q944" s="1">
        <f>STDEV(N944:P944)</f>
        <v>1449195.4854625689</v>
      </c>
      <c r="R944" s="1">
        <v>1946867.8623340668</v>
      </c>
      <c r="S944" s="1">
        <v>2.3874787083803858E-3</v>
      </c>
    </row>
    <row r="945" spans="1:19" x14ac:dyDescent="0.3">
      <c r="A945" s="1">
        <v>371</v>
      </c>
      <c r="B945" s="1" t="s">
        <v>4375</v>
      </c>
      <c r="C945" s="1" t="s">
        <v>4376</v>
      </c>
      <c r="D945" s="1">
        <v>13.162000000000001</v>
      </c>
      <c r="E945" s="1" t="s">
        <v>4377</v>
      </c>
      <c r="F945" s="1" t="s">
        <v>4378</v>
      </c>
      <c r="G945" s="1">
        <v>867.53351999999995</v>
      </c>
      <c r="H945" s="2">
        <v>10359109.366687</v>
      </c>
      <c r="I945" s="1" t="s">
        <v>17</v>
      </c>
      <c r="J945" s="1">
        <v>868.05881999999997</v>
      </c>
      <c r="K945" s="1">
        <v>866.52625</v>
      </c>
      <c r="L945" s="7">
        <f>G945-J945</f>
        <v>-0.52530000000001564</v>
      </c>
      <c r="M945" s="1" t="s">
        <v>4379</v>
      </c>
      <c r="N945" s="2">
        <v>229673.38728760899</v>
      </c>
      <c r="O945" s="1">
        <v>305839.38101214101</v>
      </c>
      <c r="P945" s="1">
        <v>226210.439820498</v>
      </c>
      <c r="Q945" s="1">
        <f>STDEV(N945:P945)</f>
        <v>45007.441755979897</v>
      </c>
      <c r="R945" s="1">
        <v>253907.73604008267</v>
      </c>
      <c r="S945" s="1">
        <v>3.1137157555315669E-4</v>
      </c>
    </row>
    <row r="946" spans="1:19" x14ac:dyDescent="0.3">
      <c r="A946" s="1">
        <v>902</v>
      </c>
      <c r="B946" s="1" t="s">
        <v>3937</v>
      </c>
      <c r="C946" s="1" t="s">
        <v>3938</v>
      </c>
      <c r="D946" s="1">
        <v>21.106999999999999</v>
      </c>
      <c r="E946" s="1" t="s">
        <v>3939</v>
      </c>
      <c r="F946" s="1" t="s">
        <v>3940</v>
      </c>
      <c r="G946" s="1">
        <v>822.40039999999999</v>
      </c>
      <c r="H946" s="2">
        <v>13953880.6110783</v>
      </c>
      <c r="I946" s="1" t="s">
        <v>17</v>
      </c>
      <c r="J946" s="1">
        <v>822.93208000000004</v>
      </c>
      <c r="K946" s="1">
        <v>821.39313000000004</v>
      </c>
      <c r="L946" s="7">
        <f>G946-J946</f>
        <v>-0.53168000000005122</v>
      </c>
      <c r="M946" s="1" t="s">
        <v>3941</v>
      </c>
      <c r="N946" s="2">
        <v>804249.29760918301</v>
      </c>
      <c r="O946" s="1">
        <v>755878.741353616</v>
      </c>
      <c r="P946" s="1">
        <v>368456.7927312</v>
      </c>
      <c r="Q946" s="1">
        <f>STDEV(N946:P946)</f>
        <v>238869.06605038169</v>
      </c>
      <c r="R946" s="1">
        <v>642861.61056466633</v>
      </c>
      <c r="S946" s="1">
        <v>7.8835263417322877E-4</v>
      </c>
    </row>
    <row r="947" spans="1:19" x14ac:dyDescent="0.3">
      <c r="A947" s="1">
        <v>140</v>
      </c>
      <c r="B947" s="1" t="s">
        <v>1362</v>
      </c>
      <c r="C947" s="1" t="s">
        <v>1363</v>
      </c>
      <c r="D947" s="1">
        <v>8.6630000000000003</v>
      </c>
      <c r="E947" s="1" t="s">
        <v>1364</v>
      </c>
      <c r="F947" s="1" t="s">
        <v>1365</v>
      </c>
      <c r="G947" s="1">
        <v>250.16997000000001</v>
      </c>
      <c r="H947" s="2">
        <v>27467602.2574085</v>
      </c>
      <c r="I947" s="1" t="s">
        <v>23</v>
      </c>
      <c r="J947" s="1">
        <v>250.70408</v>
      </c>
      <c r="K947" s="1">
        <v>251.17784</v>
      </c>
      <c r="L947" s="7">
        <f>G947-J947</f>
        <v>-0.53410999999999831</v>
      </c>
      <c r="M947" s="1" t="s">
        <v>1366</v>
      </c>
      <c r="N947" s="2">
        <v>14746882.136088699</v>
      </c>
      <c r="O947" s="1">
        <v>15886286.034928801</v>
      </c>
      <c r="P947" s="1">
        <v>27467602.2574085</v>
      </c>
      <c r="Q947" s="1">
        <f>STDEV(N947:P947)</f>
        <v>7038487.6109231776</v>
      </c>
      <c r="R947" s="1">
        <v>19366923.476142</v>
      </c>
      <c r="S947" s="1">
        <v>2.3750002935837251E-2</v>
      </c>
    </row>
    <row r="948" spans="1:19" x14ac:dyDescent="0.3">
      <c r="A948" s="1">
        <v>867</v>
      </c>
      <c r="B948" s="1" t="s">
        <v>3587</v>
      </c>
      <c r="C948" s="1" t="s">
        <v>3588</v>
      </c>
      <c r="D948" s="1">
        <v>10.294</v>
      </c>
      <c r="E948" s="1" t="s">
        <v>3589</v>
      </c>
      <c r="F948" s="1" t="s">
        <v>3590</v>
      </c>
      <c r="G948" s="1">
        <v>568.33280999999999</v>
      </c>
      <c r="H948" s="2">
        <v>7676096.2879454801</v>
      </c>
      <c r="I948" s="1" t="s">
        <v>23</v>
      </c>
      <c r="J948" s="1">
        <v>568.87144000000001</v>
      </c>
      <c r="K948" s="1">
        <v>569.34009000000003</v>
      </c>
      <c r="L948" s="7">
        <f>G948-J948</f>
        <v>-0.53863000000001193</v>
      </c>
      <c r="M948" s="1" t="s">
        <v>3591</v>
      </c>
      <c r="N948" s="2">
        <v>826430.64666200697</v>
      </c>
      <c r="O948" s="1">
        <v>951927.70588945295</v>
      </c>
      <c r="P948" s="1">
        <v>993400.08280195598</v>
      </c>
      <c r="Q948" s="1">
        <f>STDEV(N948:P948)</f>
        <v>86937.010268356855</v>
      </c>
      <c r="R948" s="1">
        <v>923919.47845113871</v>
      </c>
      <c r="S948" s="1">
        <v>1.1330188996059871E-3</v>
      </c>
    </row>
    <row r="949" spans="1:19" x14ac:dyDescent="0.3">
      <c r="A949" s="1">
        <v>100</v>
      </c>
      <c r="B949" s="1" t="s">
        <v>3221</v>
      </c>
      <c r="C949" s="1" t="s">
        <v>3222</v>
      </c>
      <c r="D949" s="1">
        <v>7.641</v>
      </c>
      <c r="E949" s="1" t="s">
        <v>3223</v>
      </c>
      <c r="F949" s="1" t="s">
        <v>3224</v>
      </c>
      <c r="G949" s="1">
        <v>652.19605999999999</v>
      </c>
      <c r="H949" s="2">
        <v>2082569.54501711</v>
      </c>
      <c r="I949" s="1" t="s">
        <v>17</v>
      </c>
      <c r="J949" s="1">
        <v>652.73609999999996</v>
      </c>
      <c r="K949" s="1">
        <v>651.18915000000004</v>
      </c>
      <c r="L949" s="7">
        <f>G949-J949</f>
        <v>-0.54003999999997632</v>
      </c>
      <c r="M949" s="1" t="s">
        <v>3225</v>
      </c>
      <c r="N949" s="2">
        <v>2082569.54501711</v>
      </c>
      <c r="O949" s="1">
        <v>1078953.9068239101</v>
      </c>
      <c r="P949" s="1">
        <v>1281598.67811356</v>
      </c>
      <c r="Q949" s="1">
        <f>STDEV(N949:P949)</f>
        <v>530701.35704009666</v>
      </c>
      <c r="R949" s="1">
        <v>1481040.7099848602</v>
      </c>
      <c r="S949" s="1">
        <v>1.8162265810347446E-3</v>
      </c>
    </row>
    <row r="950" spans="1:19" x14ac:dyDescent="0.3">
      <c r="A950" s="1">
        <v>225</v>
      </c>
      <c r="B950" s="1" t="s">
        <v>2811</v>
      </c>
      <c r="C950" s="1" t="s">
        <v>2812</v>
      </c>
      <c r="D950" s="1">
        <v>8.9489999999999998</v>
      </c>
      <c r="E950" s="1" t="s">
        <v>2813</v>
      </c>
      <c r="F950" s="1" t="s">
        <v>2814</v>
      </c>
      <c r="G950" s="1">
        <v>714.29858000000002</v>
      </c>
      <c r="H950" s="2">
        <v>2920777.3122418802</v>
      </c>
      <c r="I950" s="1" t="s">
        <v>17</v>
      </c>
      <c r="J950" s="1">
        <v>714.84216000000004</v>
      </c>
      <c r="K950" s="1">
        <v>713.29129999999998</v>
      </c>
      <c r="L950" s="7">
        <f>G950-J950</f>
        <v>-0.54358000000001994</v>
      </c>
      <c r="M950" s="1" t="s">
        <v>2815</v>
      </c>
      <c r="N950" s="2">
        <v>2331864.9000852001</v>
      </c>
      <c r="O950" s="1">
        <v>2897718.7590130898</v>
      </c>
      <c r="P950" s="1">
        <v>1982147.8936060499</v>
      </c>
      <c r="Q950" s="1">
        <f>STDEV(N950:P950)</f>
        <v>462017.78174050932</v>
      </c>
      <c r="R950" s="1">
        <v>2403910.5175681133</v>
      </c>
      <c r="S950" s="1">
        <v>2.9479582505742394E-3</v>
      </c>
    </row>
    <row r="951" spans="1:19" x14ac:dyDescent="0.3">
      <c r="A951" s="1">
        <v>213</v>
      </c>
      <c r="B951" s="1" t="s">
        <v>3649</v>
      </c>
      <c r="C951" s="1" t="s">
        <v>3650</v>
      </c>
      <c r="D951" s="1">
        <v>7.6890000000000001</v>
      </c>
      <c r="E951" s="1" t="s">
        <v>3651</v>
      </c>
      <c r="F951" s="1" t="s">
        <v>3652</v>
      </c>
      <c r="G951" s="1">
        <v>666.21373000000006</v>
      </c>
      <c r="H951" s="2">
        <v>987220.67516482202</v>
      </c>
      <c r="I951" s="1" t="s">
        <v>17</v>
      </c>
      <c r="J951" s="1">
        <v>666.75783999999999</v>
      </c>
      <c r="K951" s="1">
        <v>665.20645000000002</v>
      </c>
      <c r="L951" s="7">
        <f>G951-J951</f>
        <v>-0.54410999999993237</v>
      </c>
      <c r="M951" s="1" t="s">
        <v>3653</v>
      </c>
      <c r="N951" s="2">
        <v>987220.67516482202</v>
      </c>
      <c r="O951" s="1">
        <v>901320.45329106296</v>
      </c>
      <c r="P951" s="1">
        <v>763954.67598333</v>
      </c>
      <c r="Q951" s="1">
        <f>STDEV(N951:P951)</f>
        <v>112617.28055959345</v>
      </c>
      <c r="R951" s="1">
        <v>884165.268146405</v>
      </c>
      <c r="S951" s="1">
        <v>1.0842676039955908E-3</v>
      </c>
    </row>
    <row r="952" spans="1:19" x14ac:dyDescent="0.3">
      <c r="A952" s="1">
        <v>846</v>
      </c>
      <c r="B952" s="1" t="s">
        <v>405</v>
      </c>
      <c r="C952" s="1" t="s">
        <v>406</v>
      </c>
      <c r="D952" s="1">
        <v>12.037000000000001</v>
      </c>
      <c r="E952" s="1" t="s">
        <v>407</v>
      </c>
      <c r="F952" s="1" t="s">
        <v>408</v>
      </c>
      <c r="G952" s="1">
        <v>536.32822999999996</v>
      </c>
      <c r="H952" s="2">
        <v>1080956527.01689</v>
      </c>
      <c r="I952" s="1" t="s">
        <v>23</v>
      </c>
      <c r="J952" s="1">
        <v>536.87264000000005</v>
      </c>
      <c r="K952" s="1">
        <v>537.33551</v>
      </c>
      <c r="L952" s="7">
        <f>G952-J952</f>
        <v>-0.54441000000008444</v>
      </c>
      <c r="M952" s="1" t="s">
        <v>409</v>
      </c>
      <c r="N952" s="2">
        <v>198265155.98347399</v>
      </c>
      <c r="O952" s="1">
        <v>136181201.78180701</v>
      </c>
      <c r="P952" s="1">
        <v>56220341.403203502</v>
      </c>
      <c r="Q952" s="1">
        <f>STDEV(N952:P952)</f>
        <v>71209650.458984703</v>
      </c>
      <c r="R952" s="1">
        <v>130222233.05616148</v>
      </c>
      <c r="S952" s="1">
        <v>0.15969384198812442</v>
      </c>
    </row>
    <row r="953" spans="1:19" x14ac:dyDescent="0.3">
      <c r="A953" s="1">
        <v>247</v>
      </c>
      <c r="B953" s="1" t="s">
        <v>4562</v>
      </c>
      <c r="C953" s="1" t="s">
        <v>4563</v>
      </c>
      <c r="D953" s="1">
        <v>7.7590000000000003</v>
      </c>
      <c r="E953" s="1" t="s">
        <v>4564</v>
      </c>
      <c r="F953" s="1" t="s">
        <v>4565</v>
      </c>
      <c r="G953" s="1">
        <v>668.22754999999995</v>
      </c>
      <c r="H953" s="2">
        <v>6129004.3697679099</v>
      </c>
      <c r="I953" s="1" t="s">
        <v>17</v>
      </c>
      <c r="J953" s="1">
        <v>668.77372000000003</v>
      </c>
      <c r="K953" s="1">
        <v>667.22028</v>
      </c>
      <c r="L953" s="7">
        <f>G953-J953</f>
        <v>-0.54617000000007465</v>
      </c>
      <c r="M953" s="1" t="s">
        <v>4566</v>
      </c>
      <c r="N953" s="2">
        <v>95839.640854255806</v>
      </c>
      <c r="O953" s="1">
        <v>103237.72796230399</v>
      </c>
      <c r="P953" s="1">
        <v>129528.532458822</v>
      </c>
      <c r="Q953" s="1">
        <f>STDEV(N953:P953)</f>
        <v>17705.364118804144</v>
      </c>
      <c r="R953" s="1">
        <v>109535.30042512727</v>
      </c>
      <c r="S953" s="1">
        <v>1.3432508833317362E-4</v>
      </c>
    </row>
    <row r="954" spans="1:19" x14ac:dyDescent="0.3">
      <c r="A954" s="1">
        <v>788</v>
      </c>
      <c r="B954" s="1" t="s">
        <v>2466</v>
      </c>
      <c r="C954" s="1" t="s">
        <v>2467</v>
      </c>
      <c r="D954" s="1">
        <v>1.0649999999999999</v>
      </c>
      <c r="E954" s="1" t="s">
        <v>2468</v>
      </c>
      <c r="F954" s="1" t="s">
        <v>2469</v>
      </c>
      <c r="G954" s="1">
        <v>480.12929000000003</v>
      </c>
      <c r="H954" s="2">
        <v>7550531.2932670601</v>
      </c>
      <c r="I954" s="1" t="s">
        <v>23</v>
      </c>
      <c r="J954" s="1">
        <v>480.67712</v>
      </c>
      <c r="K954" s="1">
        <v>481.13657000000001</v>
      </c>
      <c r="L954" s="7">
        <f>G954-J954</f>
        <v>-0.54782999999997628</v>
      </c>
      <c r="M954" s="1" t="s">
        <v>2470</v>
      </c>
      <c r="N954" s="2">
        <v>7550531.2932670601</v>
      </c>
      <c r="O954" s="1">
        <v>1806470.81305495</v>
      </c>
      <c r="P954" s="1">
        <v>1750558.9478805801</v>
      </c>
      <c r="Q954" s="1">
        <f>STDEV(N954:P954)</f>
        <v>3332592.4879451282</v>
      </c>
      <c r="R954" s="1">
        <v>3702520.3514008634</v>
      </c>
      <c r="S954" s="1">
        <v>4.5404666014245438E-3</v>
      </c>
    </row>
    <row r="955" spans="1:19" x14ac:dyDescent="0.3">
      <c r="A955" s="1">
        <v>858</v>
      </c>
      <c r="B955" s="1" t="s">
        <v>1630</v>
      </c>
      <c r="C955" s="1" t="s">
        <v>1631</v>
      </c>
      <c r="D955" s="1">
        <v>11.503</v>
      </c>
      <c r="E955" s="1" t="s">
        <v>1632</v>
      </c>
      <c r="F955" s="1" t="s">
        <v>1633</v>
      </c>
      <c r="G955" s="1">
        <v>552.32307000000003</v>
      </c>
      <c r="H955" s="2">
        <v>104167006.30252101</v>
      </c>
      <c r="I955" s="1" t="s">
        <v>23</v>
      </c>
      <c r="J955" s="1">
        <v>552.87203999999997</v>
      </c>
      <c r="K955" s="1">
        <v>553.33033999999998</v>
      </c>
      <c r="L955" s="7">
        <f>G955-J955</f>
        <v>-0.54896999999994023</v>
      </c>
      <c r="M955" s="1" t="s">
        <v>1634</v>
      </c>
      <c r="N955" s="2">
        <v>24956700.8917627</v>
      </c>
      <c r="O955" s="1">
        <v>10334245.6065058</v>
      </c>
      <c r="P955" s="1">
        <v>3403936.23478453</v>
      </c>
      <c r="Q955" s="1">
        <f>STDEV(N955:P955)</f>
        <v>11002780.337382853</v>
      </c>
      <c r="R955" s="1">
        <v>12898294.244351009</v>
      </c>
      <c r="S955" s="1">
        <v>1.5817407785392496E-2</v>
      </c>
    </row>
    <row r="956" spans="1:19" x14ac:dyDescent="0.3">
      <c r="A956" s="1">
        <v>855</v>
      </c>
      <c r="B956" s="1" t="s">
        <v>2112</v>
      </c>
      <c r="C956" s="1" t="s">
        <v>2113</v>
      </c>
      <c r="D956" s="1">
        <v>10.696</v>
      </c>
      <c r="E956" s="1" t="s">
        <v>2114</v>
      </c>
      <c r="F956" s="1" t="s">
        <v>2115</v>
      </c>
      <c r="G956" s="1">
        <v>568.32209999999998</v>
      </c>
      <c r="H956" s="2">
        <v>11148854.192926601</v>
      </c>
      <c r="I956" s="1" t="s">
        <v>17</v>
      </c>
      <c r="J956" s="1">
        <v>568.87144000000001</v>
      </c>
      <c r="K956" s="1">
        <v>567.31482000000005</v>
      </c>
      <c r="L956" s="7">
        <f>G956-J956</f>
        <v>-0.54934000000002925</v>
      </c>
      <c r="M956" s="1" t="s">
        <v>2116</v>
      </c>
      <c r="N956" s="2">
        <v>11148854.192926601</v>
      </c>
      <c r="O956" s="1">
        <v>6517575.96015637</v>
      </c>
      <c r="P956" s="1">
        <v>1323999.8577113</v>
      </c>
      <c r="Q956" s="1">
        <f>STDEV(N956:P956)</f>
        <v>4915108.2305719843</v>
      </c>
      <c r="R956" s="1">
        <v>6330143.3369314233</v>
      </c>
      <c r="S956" s="1">
        <v>7.7627674329170566E-3</v>
      </c>
    </row>
    <row r="957" spans="1:19" x14ac:dyDescent="0.3">
      <c r="A957" s="1">
        <v>363</v>
      </c>
      <c r="B957" s="1" t="s">
        <v>1670</v>
      </c>
      <c r="C957" s="1" t="s">
        <v>1671</v>
      </c>
      <c r="D957" s="1">
        <v>2.036</v>
      </c>
      <c r="E957" s="1" t="s">
        <v>1672</v>
      </c>
      <c r="F957" s="1" t="s">
        <v>1673</v>
      </c>
      <c r="G957" s="1">
        <v>372.08037000000002</v>
      </c>
      <c r="H957" s="2">
        <v>13566316.6880957</v>
      </c>
      <c r="I957" s="1" t="s">
        <v>17</v>
      </c>
      <c r="J957" s="1">
        <v>372.63026000000002</v>
      </c>
      <c r="K957" s="1">
        <v>371.07308999999998</v>
      </c>
      <c r="L957" s="7">
        <f>G957-J957</f>
        <v>-0.54989000000000487</v>
      </c>
      <c r="M957" s="1" t="s">
        <v>1674</v>
      </c>
      <c r="N957" s="2">
        <v>13566316.6880957</v>
      </c>
      <c r="O957" s="1">
        <v>12373541.5128591</v>
      </c>
      <c r="P957" s="1">
        <v>8712724.3675723001</v>
      </c>
      <c r="Q957" s="1">
        <f>STDEV(N957:P957)</f>
        <v>2529217.7052641506</v>
      </c>
      <c r="R957" s="1">
        <v>11550860.8561757</v>
      </c>
      <c r="S957" s="1">
        <v>1.4165026240929265E-2</v>
      </c>
    </row>
    <row r="958" spans="1:19" x14ac:dyDescent="0.3">
      <c r="A958" s="1">
        <v>854</v>
      </c>
      <c r="B958" s="1" t="s">
        <v>3171</v>
      </c>
      <c r="C958" s="1" t="s">
        <v>3172</v>
      </c>
      <c r="D958" s="1">
        <v>11.144</v>
      </c>
      <c r="E958" s="1" t="s">
        <v>3173</v>
      </c>
      <c r="F958" s="1" t="s">
        <v>3174</v>
      </c>
      <c r="G958" s="1">
        <v>568.32038</v>
      </c>
      <c r="H958" s="2">
        <v>2887459.3426943598</v>
      </c>
      <c r="I958" s="1" t="s">
        <v>156</v>
      </c>
      <c r="J958" s="1">
        <v>568.87144000000001</v>
      </c>
      <c r="K958" s="1">
        <v>551.31781000000001</v>
      </c>
      <c r="L958" s="7">
        <f>G958-J958</f>
        <v>-0.55106000000000677</v>
      </c>
      <c r="M958" s="1" t="s">
        <v>3175</v>
      </c>
      <c r="N958" s="2">
        <v>2160874.1387320198</v>
      </c>
      <c r="O958" s="1">
        <v>1629339.5828132399</v>
      </c>
      <c r="P958" s="1">
        <v>1049913.67315085</v>
      </c>
      <c r="Q958" s="1">
        <f>STDEV(N958:P958)</f>
        <v>555652.24811450171</v>
      </c>
      <c r="R958" s="1">
        <v>1613375.7982320364</v>
      </c>
      <c r="S958" s="1">
        <v>1.9785114549465202E-3</v>
      </c>
    </row>
    <row r="959" spans="1:19" x14ac:dyDescent="0.3">
      <c r="A959" s="1">
        <v>86</v>
      </c>
      <c r="B959" s="1" t="s">
        <v>4581</v>
      </c>
      <c r="C959" s="1" t="s">
        <v>4582</v>
      </c>
      <c r="D959" s="1">
        <v>7.0890000000000004</v>
      </c>
      <c r="E959" s="1" t="s">
        <v>4583</v>
      </c>
      <c r="F959" s="1" t="s">
        <v>4584</v>
      </c>
      <c r="G959" s="1">
        <v>575.14545999999996</v>
      </c>
      <c r="H959" s="2">
        <v>13724285.6340045</v>
      </c>
      <c r="I959" s="1" t="s">
        <v>17</v>
      </c>
      <c r="J959" s="1">
        <v>575.69844000000001</v>
      </c>
      <c r="K959" s="1">
        <v>574.13818000000003</v>
      </c>
      <c r="L959" s="7">
        <f>G959-J959</f>
        <v>-0.55298000000004777</v>
      </c>
      <c r="M959" s="1" t="s">
        <v>4585</v>
      </c>
      <c r="N959" s="2">
        <v>88906.827501579799</v>
      </c>
      <c r="O959" s="1">
        <v>103249.24212440501</v>
      </c>
      <c r="P959" s="1">
        <v>102385.663063746</v>
      </c>
      <c r="Q959" s="1">
        <f>STDEV(N959:P959)</f>
        <v>8042.9019857983612</v>
      </c>
      <c r="R959" s="1">
        <v>98180.577563243613</v>
      </c>
      <c r="S959" s="1">
        <v>1.2040058960535213E-4</v>
      </c>
    </row>
    <row r="960" spans="1:19" x14ac:dyDescent="0.3">
      <c r="A960" s="1">
        <v>865</v>
      </c>
      <c r="B960" s="1" t="s">
        <v>1841</v>
      </c>
      <c r="C960" s="1" t="s">
        <v>1842</v>
      </c>
      <c r="D960" s="1">
        <v>7.077</v>
      </c>
      <c r="E960" s="1" t="s">
        <v>1843</v>
      </c>
      <c r="F960" s="1" t="s">
        <v>1844</v>
      </c>
      <c r="G960" s="1">
        <v>534.30332999999996</v>
      </c>
      <c r="H960" s="2">
        <v>39739860.252686098</v>
      </c>
      <c r="I960" s="1" t="s">
        <v>23</v>
      </c>
      <c r="J960" s="1">
        <v>534.85676000000001</v>
      </c>
      <c r="K960" s="1">
        <v>535.31061</v>
      </c>
      <c r="L960" s="7">
        <f>G960-J960</f>
        <v>-0.55343000000004849</v>
      </c>
      <c r="M960" s="1" t="s">
        <v>1845</v>
      </c>
      <c r="N960" s="2">
        <v>5029534.8212060099</v>
      </c>
      <c r="O960" s="1">
        <v>12231182.739030899</v>
      </c>
      <c r="P960" s="1">
        <v>10564219.2236652</v>
      </c>
      <c r="Q960" s="1">
        <f>STDEV(N960:P960)</f>
        <v>3769952.0670846961</v>
      </c>
      <c r="R960" s="1">
        <v>9274978.9279673696</v>
      </c>
      <c r="S960" s="1">
        <v>1.1374071728037562E-2</v>
      </c>
    </row>
    <row r="961" spans="1:19" x14ac:dyDescent="0.3">
      <c r="A961" s="1">
        <v>230</v>
      </c>
      <c r="B961" s="1" t="s">
        <v>4544</v>
      </c>
      <c r="C961" s="1" t="s">
        <v>4545</v>
      </c>
      <c r="D961" s="1">
        <v>6.0709999999999997</v>
      </c>
      <c r="E961" s="1" t="s">
        <v>4546</v>
      </c>
      <c r="F961" s="1" t="s">
        <v>4547</v>
      </c>
      <c r="G961" s="1">
        <v>507.05874999999997</v>
      </c>
      <c r="H961" s="2">
        <v>1646520.2136571901</v>
      </c>
      <c r="I961" s="1" t="s">
        <v>17</v>
      </c>
      <c r="J961" s="1">
        <v>507.61633999999998</v>
      </c>
      <c r="K961" s="1">
        <v>506.05146999999999</v>
      </c>
      <c r="L961" s="7">
        <f>G961-J961</f>
        <v>-0.55759000000000469</v>
      </c>
      <c r="M961" s="1" t="s">
        <v>24</v>
      </c>
      <c r="N961" s="2">
        <v>105292.279880043</v>
      </c>
      <c r="O961" s="1">
        <v>116170.829608745</v>
      </c>
      <c r="P961" s="1">
        <v>122391.276148886</v>
      </c>
      <c r="Q961" s="1">
        <f>STDEV(N961:P961)</f>
        <v>8654.5987078209946</v>
      </c>
      <c r="R961" s="1">
        <v>114618.12854589133</v>
      </c>
      <c r="S961" s="1">
        <v>1.405582509177841E-4</v>
      </c>
    </row>
    <row r="962" spans="1:19" x14ac:dyDescent="0.3">
      <c r="A962" s="1">
        <v>232</v>
      </c>
      <c r="B962" s="1" t="s">
        <v>4506</v>
      </c>
      <c r="C962" s="1" t="s">
        <v>4507</v>
      </c>
      <c r="D962" s="1">
        <v>9.6389999999999993</v>
      </c>
      <c r="E962" s="1" t="s">
        <v>4508</v>
      </c>
      <c r="F962" s="1" t="s">
        <v>4509</v>
      </c>
      <c r="G962" s="1">
        <v>694.25184000000002</v>
      </c>
      <c r="H962" s="2">
        <v>11769983.101448501</v>
      </c>
      <c r="I962" s="1" t="s">
        <v>17</v>
      </c>
      <c r="J962" s="1">
        <v>694.81100000000004</v>
      </c>
      <c r="K962" s="1">
        <v>693.24456999999995</v>
      </c>
      <c r="L962" s="7">
        <f>G962-J962</f>
        <v>-0.55916000000001986</v>
      </c>
      <c r="M962" s="1" t="s">
        <v>24</v>
      </c>
      <c r="N962" s="2">
        <v>131967.62794800699</v>
      </c>
      <c r="O962" s="1">
        <v>197956.953332648</v>
      </c>
      <c r="P962" s="1">
        <v>191850.85808549001</v>
      </c>
      <c r="Q962" s="1">
        <f>STDEV(N962:P962)</f>
        <v>36464.312954782938</v>
      </c>
      <c r="R962" s="1">
        <v>173925.14645538168</v>
      </c>
      <c r="S962" s="1">
        <v>2.1328750247915485E-4</v>
      </c>
    </row>
    <row r="963" spans="1:19" x14ac:dyDescent="0.3">
      <c r="A963" s="1">
        <v>173</v>
      </c>
      <c r="B963" s="1" t="s">
        <v>2259</v>
      </c>
      <c r="C963" s="1" t="s">
        <v>2260</v>
      </c>
      <c r="D963" s="1">
        <v>0.72499999999999998</v>
      </c>
      <c r="E963" s="1" t="s">
        <v>2261</v>
      </c>
      <c r="F963" s="1" t="s">
        <v>2262</v>
      </c>
      <c r="G963" s="1">
        <v>552.14386999999999</v>
      </c>
      <c r="H963" s="2">
        <v>5448765.4143008599</v>
      </c>
      <c r="I963" s="1" t="s">
        <v>17</v>
      </c>
      <c r="J963" s="1">
        <v>552.70486000000005</v>
      </c>
      <c r="K963" s="1">
        <v>551.13660000000004</v>
      </c>
      <c r="L963" s="7">
        <f>G963-J963</f>
        <v>-0.56099000000006072</v>
      </c>
      <c r="M963" s="1" t="s">
        <v>24</v>
      </c>
      <c r="N963" s="2">
        <v>4447644.7501288401</v>
      </c>
      <c r="O963" s="1">
        <v>5448765.4143008599</v>
      </c>
      <c r="P963" s="1">
        <v>5170654.4228082402</v>
      </c>
      <c r="Q963" s="1">
        <f>STDEV(N963:P963)</f>
        <v>516773.85360348993</v>
      </c>
      <c r="R963" s="1">
        <v>5022354.8624126464</v>
      </c>
      <c r="S963" s="1">
        <v>6.1590031516393579E-3</v>
      </c>
    </row>
    <row r="964" spans="1:19" x14ac:dyDescent="0.3">
      <c r="A964" s="1">
        <v>829</v>
      </c>
      <c r="B964" s="1" t="s">
        <v>2921</v>
      </c>
      <c r="C964" s="1" t="s">
        <v>2922</v>
      </c>
      <c r="D964" s="1">
        <v>8.577</v>
      </c>
      <c r="E964" s="1" t="s">
        <v>2923</v>
      </c>
      <c r="F964" s="1" t="s">
        <v>2924</v>
      </c>
      <c r="G964" s="1">
        <v>1048.63706</v>
      </c>
      <c r="H964" s="2">
        <v>6657813.5903665395</v>
      </c>
      <c r="I964" s="1" t="s">
        <v>290</v>
      </c>
      <c r="J964" s="1">
        <v>1049.19946</v>
      </c>
      <c r="K964" s="1">
        <v>525.32581000000005</v>
      </c>
      <c r="L964" s="7">
        <f>G964-J964</f>
        <v>-0.5624000000000251</v>
      </c>
      <c r="M964" s="1" t="s">
        <v>2925</v>
      </c>
      <c r="N964" s="2">
        <v>1844071.3881449201</v>
      </c>
      <c r="O964" s="1">
        <v>2088973.95207232</v>
      </c>
      <c r="P964" s="1">
        <v>2419212.2507520299</v>
      </c>
      <c r="Q964" s="1">
        <f>STDEV(N964:P964)</f>
        <v>288623.63369780179</v>
      </c>
      <c r="R964" s="1">
        <v>2117419.1969897565</v>
      </c>
      <c r="S964" s="1">
        <v>2.5966288454051696E-3</v>
      </c>
    </row>
    <row r="965" spans="1:19" x14ac:dyDescent="0.3">
      <c r="A965" s="1">
        <v>369</v>
      </c>
      <c r="B965" s="1" t="s">
        <v>2879</v>
      </c>
      <c r="C965" s="1" t="s">
        <v>2880</v>
      </c>
      <c r="D965" s="1">
        <v>7.4729999999999999</v>
      </c>
      <c r="E965" s="1" t="s">
        <v>2881</v>
      </c>
      <c r="F965" s="1" t="s">
        <v>2882</v>
      </c>
      <c r="G965" s="1">
        <v>867.49022000000002</v>
      </c>
      <c r="H965" s="2">
        <v>143961432.88449201</v>
      </c>
      <c r="I965" s="1" t="s">
        <v>23</v>
      </c>
      <c r="J965" s="1">
        <v>868.05881999999997</v>
      </c>
      <c r="K965" s="1">
        <v>868.49749999999995</v>
      </c>
      <c r="L965" s="7">
        <f>G965-J965</f>
        <v>-0.5685999999999467</v>
      </c>
      <c r="M965" s="1" t="s">
        <v>2883</v>
      </c>
      <c r="N965" s="2">
        <v>1741925.4384989301</v>
      </c>
      <c r="O965" s="1">
        <v>2293549.14352798</v>
      </c>
      <c r="P965" s="1">
        <v>2561009.8398200902</v>
      </c>
      <c r="Q965" s="1">
        <f>STDEV(N965:P965)</f>
        <v>417676.74751707964</v>
      </c>
      <c r="R965" s="1">
        <v>2198828.1406156668</v>
      </c>
      <c r="S965" s="1">
        <v>2.696462081825017E-3</v>
      </c>
    </row>
    <row r="966" spans="1:19" x14ac:dyDescent="0.3">
      <c r="A966" s="1">
        <v>82</v>
      </c>
      <c r="B966" s="1" t="s">
        <v>2461</v>
      </c>
      <c r="C966" s="1" t="s">
        <v>2462</v>
      </c>
      <c r="D966" s="1">
        <v>8.2780000000000005</v>
      </c>
      <c r="E966" s="1" t="s">
        <v>2463</v>
      </c>
      <c r="F966" s="1" t="s">
        <v>2464</v>
      </c>
      <c r="G966" s="1">
        <v>720.32474999999999</v>
      </c>
      <c r="H966" s="2">
        <v>4057287.1671631401</v>
      </c>
      <c r="I966" s="1" t="s">
        <v>17</v>
      </c>
      <c r="J966" s="1">
        <v>720.89617999999996</v>
      </c>
      <c r="K966" s="1">
        <v>719.31862999999998</v>
      </c>
      <c r="L966" s="7">
        <f>G966-J966</f>
        <v>-0.57142999999996391</v>
      </c>
      <c r="M966" s="1" t="s">
        <v>2465</v>
      </c>
      <c r="N966" s="2">
        <v>3293314.7443023501</v>
      </c>
      <c r="O966" s="1">
        <v>4057287.1671631401</v>
      </c>
      <c r="P966" s="1">
        <v>3999273.4995986801</v>
      </c>
      <c r="Q966" s="1">
        <f>STDEV(N966:P966)</f>
        <v>425322.86024768074</v>
      </c>
      <c r="R966" s="1">
        <v>3783291.8036880568</v>
      </c>
      <c r="S966" s="1">
        <v>4.6395180708701609E-3</v>
      </c>
    </row>
    <row r="967" spans="1:19" x14ac:dyDescent="0.3">
      <c r="A967" s="1">
        <v>780</v>
      </c>
      <c r="B967" s="1" t="s">
        <v>360</v>
      </c>
      <c r="C967" s="1" t="s">
        <v>361</v>
      </c>
      <c r="D967" s="1">
        <v>2.141</v>
      </c>
      <c r="E967" s="1" t="s">
        <v>362</v>
      </c>
      <c r="F967" s="1" t="s">
        <v>363</v>
      </c>
      <c r="G967" s="1">
        <v>486.11103000000003</v>
      </c>
      <c r="H967" s="2">
        <v>229806356.753077</v>
      </c>
      <c r="I967" s="1" t="s">
        <v>17</v>
      </c>
      <c r="J967" s="1">
        <v>486.68324000000001</v>
      </c>
      <c r="K967" s="1">
        <v>485.10379</v>
      </c>
      <c r="L967" s="7">
        <f>G967-J967</f>
        <v>-0.57220999999998412</v>
      </c>
      <c r="M967" s="1" t="s">
        <v>364</v>
      </c>
      <c r="N967" s="2">
        <v>36288193.220845103</v>
      </c>
      <c r="O967" s="1">
        <v>229806356.753077</v>
      </c>
      <c r="P967" s="1">
        <v>177527487.78962201</v>
      </c>
      <c r="Q967" s="1">
        <f>STDEV(N967:P967)</f>
        <v>100109022.31007244</v>
      </c>
      <c r="R967" s="1">
        <v>147874012.58784804</v>
      </c>
      <c r="S967" s="1">
        <v>0.18134053338011316</v>
      </c>
    </row>
    <row r="968" spans="1:19" x14ac:dyDescent="0.3">
      <c r="A968" s="1">
        <v>814</v>
      </c>
      <c r="B968" s="1" t="s">
        <v>2229</v>
      </c>
      <c r="C968" s="1" t="s">
        <v>2230</v>
      </c>
      <c r="D968" s="1">
        <v>12.513999999999999</v>
      </c>
      <c r="E968" s="1" t="s">
        <v>2231</v>
      </c>
      <c r="F968" s="1" t="s">
        <v>2232</v>
      </c>
      <c r="G968" s="1">
        <v>1062.60996</v>
      </c>
      <c r="H968" s="2">
        <v>8838714.5247065704</v>
      </c>
      <c r="I968" s="1" t="s">
        <v>290</v>
      </c>
      <c r="J968" s="1">
        <v>1063.18298</v>
      </c>
      <c r="K968" s="1">
        <v>532.31226000000004</v>
      </c>
      <c r="L968" s="7">
        <f>G968-J968</f>
        <v>-0.57302000000004227</v>
      </c>
      <c r="M968" s="1" t="s">
        <v>24</v>
      </c>
      <c r="N968" s="2">
        <v>8838714.5247065704</v>
      </c>
      <c r="O968" s="1">
        <v>5844817.8942262596</v>
      </c>
      <c r="P968" s="1">
        <v>1375861.19211681</v>
      </c>
      <c r="Q968" s="1">
        <f>STDEV(N968:P968)</f>
        <v>3755643.9949999796</v>
      </c>
      <c r="R968" s="1">
        <v>5353131.2036832133</v>
      </c>
      <c r="S968" s="1">
        <v>6.5646400658327334E-3</v>
      </c>
    </row>
    <row r="969" spans="1:19" x14ac:dyDescent="0.3">
      <c r="A969" s="1">
        <v>835</v>
      </c>
      <c r="B969" s="1" t="s">
        <v>4280</v>
      </c>
      <c r="C969" s="1" t="s">
        <v>4281</v>
      </c>
      <c r="D969" s="1">
        <v>7.657</v>
      </c>
      <c r="E969" s="1" t="s">
        <v>4282</v>
      </c>
      <c r="F969" s="1" t="s">
        <v>4283</v>
      </c>
      <c r="G969" s="1">
        <v>1196.73594</v>
      </c>
      <c r="H969" s="2">
        <v>53892366.989086501</v>
      </c>
      <c r="I969" s="1" t="s">
        <v>290</v>
      </c>
      <c r="J969" s="1">
        <v>1197.31348</v>
      </c>
      <c r="K969" s="1">
        <v>599.37523999999996</v>
      </c>
      <c r="L969" s="7">
        <f>G969-J969</f>
        <v>-0.57753999999999905</v>
      </c>
      <c r="M969" s="1" t="s">
        <v>4284</v>
      </c>
      <c r="N969" s="2">
        <v>274617.06066140998</v>
      </c>
      <c r="O969" s="1">
        <v>327349.99915919401</v>
      </c>
      <c r="P969" s="1">
        <v>391256.50041574001</v>
      </c>
      <c r="Q969" s="1">
        <f>STDEV(N969:P969)</f>
        <v>58408.850088075676</v>
      </c>
      <c r="R969" s="1">
        <v>331074.52007878135</v>
      </c>
      <c r="S969" s="1">
        <v>4.060025761726366E-4</v>
      </c>
    </row>
    <row r="970" spans="1:19" x14ac:dyDescent="0.3">
      <c r="A970" s="1">
        <v>845</v>
      </c>
      <c r="B970" s="1" t="s">
        <v>3122</v>
      </c>
      <c r="C970" s="1" t="s">
        <v>3123</v>
      </c>
      <c r="D970" s="1">
        <v>10.182</v>
      </c>
      <c r="E970" s="1" t="s">
        <v>3124</v>
      </c>
      <c r="F970" s="1" t="s">
        <v>3125</v>
      </c>
      <c r="G970" s="1">
        <v>536.29295999999999</v>
      </c>
      <c r="H970" s="2">
        <v>4287229.5956708696</v>
      </c>
      <c r="I970" s="1" t="s">
        <v>23</v>
      </c>
      <c r="J970" s="1">
        <v>536.87264000000005</v>
      </c>
      <c r="K970" s="1">
        <v>537.30023000000006</v>
      </c>
      <c r="L970" s="7">
        <f>G970-J970</f>
        <v>-0.57968000000005304</v>
      </c>
      <c r="M970" s="1" t="s">
        <v>24</v>
      </c>
      <c r="N970" s="2">
        <v>1416597.8283041299</v>
      </c>
      <c r="O970" s="1">
        <v>1614366.9720604999</v>
      </c>
      <c r="P970" s="1">
        <v>2017012.2674253499</v>
      </c>
      <c r="Q970" s="1">
        <f>STDEV(N970:P970)</f>
        <v>305977.49557955761</v>
      </c>
      <c r="R970" s="1">
        <v>1682659.0225966598</v>
      </c>
      <c r="S970" s="1">
        <v>2.0634747060323797E-3</v>
      </c>
    </row>
    <row r="971" spans="1:19" x14ac:dyDescent="0.3">
      <c r="A971" s="1">
        <v>848</v>
      </c>
      <c r="B971" s="1" t="s">
        <v>2330</v>
      </c>
      <c r="C971" s="1" t="s">
        <v>2331</v>
      </c>
      <c r="D971" s="1">
        <v>8.3970000000000002</v>
      </c>
      <c r="E971" s="1" t="s">
        <v>2332</v>
      </c>
      <c r="F971" s="1" t="s">
        <v>2333</v>
      </c>
      <c r="G971" s="1">
        <v>552.2912</v>
      </c>
      <c r="H971" s="2">
        <v>5149357.6204658197</v>
      </c>
      <c r="I971" s="1" t="s">
        <v>17</v>
      </c>
      <c r="J971" s="1">
        <v>552.87203999999997</v>
      </c>
      <c r="K971" s="1">
        <v>551.28390999999999</v>
      </c>
      <c r="L971" s="7">
        <f>G971-J971</f>
        <v>-0.58083999999996649</v>
      </c>
      <c r="M971" s="1" t="s">
        <v>2334</v>
      </c>
      <c r="N971" s="2">
        <v>4056243.3837225102</v>
      </c>
      <c r="O971" s="1">
        <v>4813871.40217382</v>
      </c>
      <c r="P971" s="1">
        <v>5149357.6204658197</v>
      </c>
      <c r="Q971" s="1">
        <f>STDEV(N971:P971)</f>
        <v>559977.67092049215</v>
      </c>
      <c r="R971" s="1">
        <v>4673157.4687873833</v>
      </c>
      <c r="S971" s="1">
        <v>5.7307761731002337E-3</v>
      </c>
    </row>
    <row r="972" spans="1:19" x14ac:dyDescent="0.3">
      <c r="A972" s="1">
        <v>94</v>
      </c>
      <c r="B972" s="1" t="s">
        <v>1943</v>
      </c>
      <c r="C972" s="1" t="s">
        <v>1944</v>
      </c>
      <c r="D972" s="1">
        <v>9.7550000000000008</v>
      </c>
      <c r="E972" s="1" t="s">
        <v>1945</v>
      </c>
      <c r="F972" s="1" t="s">
        <v>1946</v>
      </c>
      <c r="G972" s="1">
        <v>690.28935000000001</v>
      </c>
      <c r="H972" s="2">
        <v>78193249.796843201</v>
      </c>
      <c r="I972" s="1" t="s">
        <v>23</v>
      </c>
      <c r="J972" s="1">
        <v>690.87019999999995</v>
      </c>
      <c r="K972" s="1">
        <v>691.29663000000005</v>
      </c>
      <c r="L972" s="7">
        <f>G972-J972</f>
        <v>-0.58084999999994125</v>
      </c>
      <c r="M972" s="1" t="s">
        <v>1947</v>
      </c>
      <c r="N972" s="2">
        <v>6618446.0589861302</v>
      </c>
      <c r="O972" s="1">
        <v>7770712.8952621398</v>
      </c>
      <c r="P972" s="1">
        <v>8677967.1077588592</v>
      </c>
      <c r="Q972" s="1">
        <f>STDEV(N972:P972)</f>
        <v>1032186.6771093677</v>
      </c>
      <c r="R972" s="1">
        <v>7689042.0206690431</v>
      </c>
      <c r="S972" s="1">
        <v>9.4292090733785264E-3</v>
      </c>
    </row>
    <row r="973" spans="1:19" x14ac:dyDescent="0.3">
      <c r="A973" s="1">
        <v>947</v>
      </c>
      <c r="B973" s="1" t="s">
        <v>4095</v>
      </c>
      <c r="C973" s="1" t="s">
        <v>4096</v>
      </c>
      <c r="D973" s="1">
        <v>9.0670000000000002</v>
      </c>
      <c r="E973" s="1" t="s">
        <v>4097</v>
      </c>
      <c r="F973" s="1" t="s">
        <v>4098</v>
      </c>
      <c r="G973" s="1">
        <v>466.09998999999999</v>
      </c>
      <c r="H973" s="2">
        <v>23044537.6295733</v>
      </c>
      <c r="I973" s="1" t="s">
        <v>17</v>
      </c>
      <c r="J973" s="1">
        <v>466.6936</v>
      </c>
      <c r="K973" s="1">
        <v>465.09271000000001</v>
      </c>
      <c r="L973" s="7">
        <f>G973-J973</f>
        <v>-0.59361000000001241</v>
      </c>
      <c r="M973" s="1" t="s">
        <v>4099</v>
      </c>
      <c r="N973" s="2">
        <v>453165.76015325502</v>
      </c>
      <c r="O973" s="1">
        <v>545366.45468679199</v>
      </c>
      <c r="P973" s="1">
        <v>562901.838269028</v>
      </c>
      <c r="Q973" s="1">
        <f>STDEV(N973:P973)</f>
        <v>58949.787376028449</v>
      </c>
      <c r="R973" s="1">
        <v>520478.01770302496</v>
      </c>
      <c r="S973" s="1">
        <v>6.382714561615052E-4</v>
      </c>
    </row>
    <row r="974" spans="1:19" x14ac:dyDescent="0.3">
      <c r="A974" s="1">
        <v>365</v>
      </c>
      <c r="B974" s="1" t="s">
        <v>4051</v>
      </c>
      <c r="C974" s="1" t="s">
        <v>4052</v>
      </c>
      <c r="D974" s="1">
        <v>7.056</v>
      </c>
      <c r="E974" s="1" t="s">
        <v>4053</v>
      </c>
      <c r="F974" s="1" t="s">
        <v>4054</v>
      </c>
      <c r="G974" s="1">
        <v>793.33866999999998</v>
      </c>
      <c r="H974" s="2">
        <v>4543025.1596806496</v>
      </c>
      <c r="I974" s="1" t="s">
        <v>23</v>
      </c>
      <c r="J974" s="1">
        <v>793.93722000000002</v>
      </c>
      <c r="K974" s="1">
        <v>794.34595000000002</v>
      </c>
      <c r="L974" s="7">
        <f>G974-J974</f>
        <v>-0.59855000000004566</v>
      </c>
      <c r="M974" s="1" t="s">
        <v>4055</v>
      </c>
      <c r="N974" s="2">
        <v>458948.71125183901</v>
      </c>
      <c r="O974" s="1">
        <v>547895.88907167304</v>
      </c>
      <c r="P974" s="1">
        <v>710204.439121934</v>
      </c>
      <c r="Q974" s="1">
        <f>STDEV(N974:P974)</f>
        <v>127400.3575669126</v>
      </c>
      <c r="R974" s="1">
        <v>572349.67981514859</v>
      </c>
      <c r="S974" s="1">
        <v>7.0188259858003799E-4</v>
      </c>
    </row>
    <row r="975" spans="1:19" x14ac:dyDescent="0.3">
      <c r="A975" s="1">
        <v>224</v>
      </c>
      <c r="B975" s="1" t="s">
        <v>3451</v>
      </c>
      <c r="C975" s="1" t="s">
        <v>3452</v>
      </c>
      <c r="D975" s="1">
        <v>1.6259999999999999</v>
      </c>
      <c r="E975" s="1" t="s">
        <v>3453</v>
      </c>
      <c r="F975" s="1" t="s">
        <v>3454</v>
      </c>
      <c r="G975" s="1">
        <v>668.17201</v>
      </c>
      <c r="H975" s="2">
        <v>1873432.20266957</v>
      </c>
      <c r="I975" s="1" t="s">
        <v>17</v>
      </c>
      <c r="J975" s="1">
        <v>668.77372000000003</v>
      </c>
      <c r="K975" s="1">
        <v>667.16472999999996</v>
      </c>
      <c r="L975" s="7">
        <f>G975-J975</f>
        <v>-0.6017100000000255</v>
      </c>
      <c r="M975" s="1" t="s">
        <v>3455</v>
      </c>
      <c r="N975" s="2">
        <v>426422.53057231498</v>
      </c>
      <c r="O975" s="1">
        <v>1873432.20266957</v>
      </c>
      <c r="P975" s="1">
        <v>1028017.17368648</v>
      </c>
      <c r="Q975" s="1">
        <f>STDEV(N975:P975)</f>
        <v>726920.40795366594</v>
      </c>
      <c r="R975" s="1">
        <v>1109290.6356427884</v>
      </c>
      <c r="S975" s="1">
        <v>1.3603428487579895E-3</v>
      </c>
    </row>
    <row r="976" spans="1:19" x14ac:dyDescent="0.3">
      <c r="A976" s="1">
        <v>783</v>
      </c>
      <c r="B976" s="1" t="s">
        <v>3473</v>
      </c>
      <c r="C976" s="1" t="s">
        <v>3474</v>
      </c>
      <c r="D976" s="1">
        <v>1.863</v>
      </c>
      <c r="E976" s="1" t="s">
        <v>3475</v>
      </c>
      <c r="F976" s="1" t="s">
        <v>3476</v>
      </c>
      <c r="G976" s="1">
        <v>456.09814</v>
      </c>
      <c r="H976" s="2">
        <v>6233827.478534</v>
      </c>
      <c r="I976" s="1" t="s">
        <v>23</v>
      </c>
      <c r="J976" s="1">
        <v>456.70031999999998</v>
      </c>
      <c r="K976" s="1">
        <v>457.10532000000001</v>
      </c>
      <c r="L976" s="7">
        <f>G976-J976</f>
        <v>-0.60217999999997573</v>
      </c>
      <c r="M976" s="1" t="s">
        <v>24</v>
      </c>
      <c r="N976" s="2">
        <v>922158.206296677</v>
      </c>
      <c r="O976" s="1">
        <v>1095012.2685276601</v>
      </c>
      <c r="P976" s="1">
        <v>1267233.00204801</v>
      </c>
      <c r="Q976" s="1">
        <f>STDEV(N976:P976)</f>
        <v>172537.494739966</v>
      </c>
      <c r="R976" s="1">
        <v>1094801.158957449</v>
      </c>
      <c r="S976" s="1">
        <v>1.342574145626618E-3</v>
      </c>
    </row>
    <row r="977" spans="1:19" x14ac:dyDescent="0.3">
      <c r="A977" s="1">
        <v>940</v>
      </c>
      <c r="B977" s="1" t="s">
        <v>2457</v>
      </c>
      <c r="C977" s="1" t="s">
        <v>2458</v>
      </c>
      <c r="D977" s="1">
        <v>4.91</v>
      </c>
      <c r="E977" s="1"/>
      <c r="F977" s="1" t="s">
        <v>2459</v>
      </c>
      <c r="G977" s="1">
        <v>414.06743</v>
      </c>
      <c r="H977" s="2">
        <v>4627323.5618550098</v>
      </c>
      <c r="I977" s="1" t="s">
        <v>17</v>
      </c>
      <c r="J977" s="1">
        <v>414.67</v>
      </c>
      <c r="K977" s="1">
        <v>413.06015000000002</v>
      </c>
      <c r="L977" s="7">
        <f>G977-J977</f>
        <v>-0.60257000000001426</v>
      </c>
      <c r="M977" s="1" t="s">
        <v>2460</v>
      </c>
      <c r="N977" s="2">
        <v>2954161.40697724</v>
      </c>
      <c r="O977" s="1">
        <v>4627323.5618550098</v>
      </c>
      <c r="P977" s="1">
        <v>4064357.9202529201</v>
      </c>
      <c r="Q977" s="1">
        <f>STDEV(N977:P977)</f>
        <v>851365.39435477369</v>
      </c>
      <c r="R977" s="1">
        <v>3881947.6296950565</v>
      </c>
      <c r="S977" s="1">
        <v>4.7605014661001831E-3</v>
      </c>
    </row>
    <row r="978" spans="1:19" x14ac:dyDescent="0.3">
      <c r="A978" s="1">
        <v>817</v>
      </c>
      <c r="B978" s="1" t="s">
        <v>888</v>
      </c>
      <c r="C978" s="1" t="s">
        <v>889</v>
      </c>
      <c r="D978" s="1">
        <v>12.106999999999999</v>
      </c>
      <c r="E978" s="1" t="s">
        <v>890</v>
      </c>
      <c r="F978" s="1" t="s">
        <v>891</v>
      </c>
      <c r="G978" s="1">
        <v>1210.7324599999999</v>
      </c>
      <c r="H978" s="2">
        <v>93503012.819150507</v>
      </c>
      <c r="I978" s="1" t="s">
        <v>290</v>
      </c>
      <c r="J978" s="1">
        <v>1211.34006</v>
      </c>
      <c r="K978" s="1">
        <v>606.37351000000001</v>
      </c>
      <c r="L978" s="7">
        <f>G978-J978</f>
        <v>-0.60760000000004766</v>
      </c>
      <c r="M978" s="1" t="s">
        <v>892</v>
      </c>
      <c r="N978" s="2">
        <v>93503012.819150507</v>
      </c>
      <c r="O978" s="1">
        <v>43687230.5182731</v>
      </c>
      <c r="P978" s="1">
        <v>12124721.2668656</v>
      </c>
      <c r="Q978" s="1">
        <f>STDEV(N978:P978)</f>
        <v>41028913.570111886</v>
      </c>
      <c r="R978" s="1">
        <v>49771654.868096411</v>
      </c>
      <c r="S978" s="1">
        <v>6.1035866160929576E-2</v>
      </c>
    </row>
    <row r="979" spans="1:19" x14ac:dyDescent="0.3">
      <c r="A979" s="1">
        <v>781</v>
      </c>
      <c r="B979" s="1" t="s">
        <v>2849</v>
      </c>
      <c r="C979" s="1" t="s">
        <v>2850</v>
      </c>
      <c r="D979" s="1">
        <v>6.8920000000000003</v>
      </c>
      <c r="E979" s="1" t="s">
        <v>2851</v>
      </c>
      <c r="F979" s="1" t="s">
        <v>2852</v>
      </c>
      <c r="G979" s="1">
        <v>780.36747000000003</v>
      </c>
      <c r="H979" s="2">
        <v>33368225.053374901</v>
      </c>
      <c r="I979" s="1" t="s">
        <v>290</v>
      </c>
      <c r="J979" s="1">
        <v>780.98152000000005</v>
      </c>
      <c r="K979" s="1">
        <v>391.19101000000001</v>
      </c>
      <c r="L979" s="7">
        <f>G979-J979</f>
        <v>-0.61405000000002019</v>
      </c>
      <c r="M979" s="1" t="s">
        <v>2853</v>
      </c>
      <c r="N979" s="2">
        <v>886007.39114268404</v>
      </c>
      <c r="O979" s="1">
        <v>2111335.36312488</v>
      </c>
      <c r="P979" s="1">
        <v>3935636.9097353402</v>
      </c>
      <c r="Q979" s="1">
        <f>STDEV(N979:P979)</f>
        <v>1534587.0765214006</v>
      </c>
      <c r="R979" s="1">
        <v>2310993.2213343014</v>
      </c>
      <c r="S979" s="1">
        <v>2.8340121165348489E-3</v>
      </c>
    </row>
    <row r="980" spans="1:19" x14ac:dyDescent="0.3">
      <c r="A980" s="1">
        <v>68</v>
      </c>
      <c r="B980" s="1" t="s">
        <v>2573</v>
      </c>
      <c r="C980" s="1" t="s">
        <v>2574</v>
      </c>
      <c r="D980" s="1">
        <v>1.669</v>
      </c>
      <c r="E980" s="1" t="s">
        <v>2575</v>
      </c>
      <c r="F980" s="1" t="s">
        <v>2576</v>
      </c>
      <c r="G980" s="1">
        <v>584.12909999999999</v>
      </c>
      <c r="H980" s="2">
        <v>4499897.7000751402</v>
      </c>
      <c r="I980" s="1" t="s">
        <v>17</v>
      </c>
      <c r="J980" s="1">
        <v>584.74980000000005</v>
      </c>
      <c r="K980" s="1">
        <v>583.12183000000005</v>
      </c>
      <c r="L980" s="7">
        <f>G980-J980</f>
        <v>-0.62070000000005621</v>
      </c>
      <c r="M980" s="1" t="s">
        <v>24</v>
      </c>
      <c r="N980" s="2">
        <v>4499897.7000751402</v>
      </c>
      <c r="O980" s="1">
        <v>1160955.9574237899</v>
      </c>
      <c r="P980" s="1">
        <v>3527421.3560829302</v>
      </c>
      <c r="Q980" s="1">
        <f>STDEV(N980:P980)</f>
        <v>1717284.7115672189</v>
      </c>
      <c r="R980" s="1">
        <v>3062758.3378606201</v>
      </c>
      <c r="S980" s="1">
        <v>3.7559150582465181E-3</v>
      </c>
    </row>
    <row r="981" spans="1:19" x14ac:dyDescent="0.3">
      <c r="A981" s="1">
        <v>842</v>
      </c>
      <c r="B981" s="1" t="s">
        <v>3654</v>
      </c>
      <c r="C981" s="1" t="s">
        <v>3655</v>
      </c>
      <c r="D981" s="1">
        <v>8.9629999999999992</v>
      </c>
      <c r="E981" s="1" t="s">
        <v>3656</v>
      </c>
      <c r="F981" s="1" t="s">
        <v>3657</v>
      </c>
      <c r="G981" s="1">
        <v>564.21400000000006</v>
      </c>
      <c r="H981" s="2">
        <v>57340370.0080553</v>
      </c>
      <c r="I981" s="1" t="s">
        <v>17</v>
      </c>
      <c r="J981" s="1">
        <v>564.83968000000004</v>
      </c>
      <c r="K981" s="1">
        <v>563.20672999999999</v>
      </c>
      <c r="L981" s="7">
        <f>G981-J981</f>
        <v>-0.62567999999998847</v>
      </c>
      <c r="M981" s="1" t="s">
        <v>3658</v>
      </c>
      <c r="N981" s="2">
        <v>792312.66905033099</v>
      </c>
      <c r="O981" s="1">
        <v>924988.66876669799</v>
      </c>
      <c r="P981" s="1">
        <v>933435.24050645297</v>
      </c>
      <c r="Q981" s="1">
        <f>STDEV(N981:P981)</f>
        <v>79151.590475997917</v>
      </c>
      <c r="R981" s="1">
        <v>883578.85944116069</v>
      </c>
      <c r="S981" s="1">
        <v>1.0835484805639159E-3</v>
      </c>
    </row>
    <row r="982" spans="1:19" x14ac:dyDescent="0.3">
      <c r="A982" s="1">
        <v>955</v>
      </c>
      <c r="B982" s="1" t="s">
        <v>2166</v>
      </c>
      <c r="C982" s="1" t="s">
        <v>2167</v>
      </c>
      <c r="D982" s="1">
        <v>2.5489999999999999</v>
      </c>
      <c r="E982" s="1" t="s">
        <v>2168</v>
      </c>
      <c r="F982" s="1" t="s">
        <v>2169</v>
      </c>
      <c r="G982" s="1">
        <v>402.06738999999999</v>
      </c>
      <c r="H982" s="2">
        <v>7968314.8450837098</v>
      </c>
      <c r="I982" s="1" t="s">
        <v>17</v>
      </c>
      <c r="J982" s="1">
        <v>402.69600000000003</v>
      </c>
      <c r="K982" s="1">
        <v>401.06011999999998</v>
      </c>
      <c r="L982" s="7">
        <f>G982-J982</f>
        <v>-0.62861000000003742</v>
      </c>
      <c r="M982" s="1" t="s">
        <v>2170</v>
      </c>
      <c r="N982" s="2">
        <v>2426714.6969032302</v>
      </c>
      <c r="O982" s="1">
        <v>7276104.53273746</v>
      </c>
      <c r="P982" s="1">
        <v>7968314.8450837098</v>
      </c>
      <c r="Q982" s="1">
        <f>STDEV(N982:P982)</f>
        <v>3019521.7363771577</v>
      </c>
      <c r="R982" s="1">
        <v>5890378.0249081329</v>
      </c>
      <c r="S982" s="1">
        <v>7.2234754041909169E-3</v>
      </c>
    </row>
    <row r="983" spans="1:19" x14ac:dyDescent="0.3">
      <c r="A983" s="1">
        <v>844</v>
      </c>
      <c r="B983" s="1" t="s">
        <v>2840</v>
      </c>
      <c r="C983" s="1" t="s">
        <v>2841</v>
      </c>
      <c r="D983" s="1">
        <v>7.7329999999999997</v>
      </c>
      <c r="E983" s="1" t="s">
        <v>2842</v>
      </c>
      <c r="F983" s="1" t="s">
        <v>2843</v>
      </c>
      <c r="G983" s="1">
        <v>600.23905000000002</v>
      </c>
      <c r="H983" s="2">
        <v>2493521.8563681399</v>
      </c>
      <c r="I983" s="1" t="s">
        <v>17</v>
      </c>
      <c r="J983" s="1">
        <v>600.87023999999997</v>
      </c>
      <c r="K983" s="1">
        <v>599.23168999999996</v>
      </c>
      <c r="L983" s="7">
        <f>G983-J983</f>
        <v>-0.63118999999994685</v>
      </c>
      <c r="M983" s="1" t="s">
        <v>2844</v>
      </c>
      <c r="N983" s="2">
        <v>2115432.6789156999</v>
      </c>
      <c r="O983" s="1">
        <v>2379901.1458178302</v>
      </c>
      <c r="P983" s="1">
        <v>2493521.8563681399</v>
      </c>
      <c r="Q983" s="1">
        <f>STDEV(N983:P983)</f>
        <v>193995.12964598835</v>
      </c>
      <c r="R983" s="1">
        <v>2329618.5603672233</v>
      </c>
      <c r="S983" s="1">
        <v>2.8568527012698373E-3</v>
      </c>
    </row>
    <row r="984" spans="1:19" x14ac:dyDescent="0.3">
      <c r="A984" s="1">
        <v>873</v>
      </c>
      <c r="B984" s="1" t="s">
        <v>1635</v>
      </c>
      <c r="C984" s="1" t="s">
        <v>1636</v>
      </c>
      <c r="D984" s="1">
        <v>2.4500000000000002</v>
      </c>
      <c r="E984" s="1" t="s">
        <v>1637</v>
      </c>
      <c r="F984" s="1" t="s">
        <v>1638</v>
      </c>
      <c r="G984" s="1">
        <v>442.08398999999997</v>
      </c>
      <c r="H984" s="2">
        <v>24407424.971106101</v>
      </c>
      <c r="I984" s="1" t="s">
        <v>23</v>
      </c>
      <c r="J984" s="1">
        <v>442.71679999999998</v>
      </c>
      <c r="K984" s="1">
        <v>443.09127000000001</v>
      </c>
      <c r="L984" s="7">
        <f>G984-J984</f>
        <v>-0.63281000000000631</v>
      </c>
      <c r="M984" s="1" t="s">
        <v>1639</v>
      </c>
      <c r="N984" s="2">
        <v>4198084.7164500002</v>
      </c>
      <c r="O984" s="1">
        <v>24407424.971106101</v>
      </c>
      <c r="P984" s="1">
        <v>9792483.48761818</v>
      </c>
      <c r="Q984" s="1">
        <f>STDEV(N984:P984)</f>
        <v>10434807.502657374</v>
      </c>
      <c r="R984" s="1">
        <v>12799331.058391428</v>
      </c>
      <c r="S984" s="1">
        <v>1.5696047469182475E-2</v>
      </c>
    </row>
    <row r="985" spans="1:19" x14ac:dyDescent="0.3">
      <c r="A985" s="1">
        <v>857</v>
      </c>
      <c r="B985" s="1" t="s">
        <v>1122</v>
      </c>
      <c r="C985" s="1" t="s">
        <v>1123</v>
      </c>
      <c r="D985" s="1">
        <v>9.0749999999999993</v>
      </c>
      <c r="E985" s="1"/>
      <c r="F985" s="1" t="s">
        <v>1124</v>
      </c>
      <c r="G985" s="1">
        <v>552.23670000000004</v>
      </c>
      <c r="H985" s="2">
        <v>35116796.842849799</v>
      </c>
      <c r="I985" s="1" t="s">
        <v>17</v>
      </c>
      <c r="J985" s="1">
        <v>552.87203999999997</v>
      </c>
      <c r="K985" s="1">
        <v>551.22942</v>
      </c>
      <c r="L985" s="7">
        <f>G985-J985</f>
        <v>-0.6353399999999283</v>
      </c>
      <c r="M985" s="1" t="s">
        <v>1125</v>
      </c>
      <c r="N985" s="2">
        <v>29941804.0099486</v>
      </c>
      <c r="O985" s="1">
        <v>35116796.842849799</v>
      </c>
      <c r="P985" s="1">
        <v>32760995.050486598</v>
      </c>
      <c r="Q985" s="1">
        <f>STDEV(N985:P985)</f>
        <v>2590951.9173632613</v>
      </c>
      <c r="R985" s="1">
        <v>32606531.967761666</v>
      </c>
      <c r="S985" s="1">
        <v>3.9985970457093817E-2</v>
      </c>
    </row>
    <row r="986" spans="1:19" x14ac:dyDescent="0.3">
      <c r="A986" s="1">
        <v>763</v>
      </c>
      <c r="B986" s="1" t="s">
        <v>4522</v>
      </c>
      <c r="C986" s="1" t="s">
        <v>4523</v>
      </c>
      <c r="D986" s="1">
        <v>6.0359999999999996</v>
      </c>
      <c r="E986" s="1" t="s">
        <v>4524</v>
      </c>
      <c r="F986" s="1" t="s">
        <v>4525</v>
      </c>
      <c r="G986" s="1">
        <v>490.06851</v>
      </c>
      <c r="H986" s="2">
        <v>10175459.680309599</v>
      </c>
      <c r="I986" s="1" t="s">
        <v>17</v>
      </c>
      <c r="J986" s="1">
        <v>490.71499999999997</v>
      </c>
      <c r="K986" s="1">
        <v>489.06123000000002</v>
      </c>
      <c r="L986" s="7">
        <f>G986-J986</f>
        <v>-0.64648999999997159</v>
      </c>
      <c r="M986" s="1" t="s">
        <v>24</v>
      </c>
      <c r="N986" s="2">
        <v>133915.758203153</v>
      </c>
      <c r="O986" s="1">
        <v>162560.97671850599</v>
      </c>
      <c r="P986" s="1">
        <v>157593.395678614</v>
      </c>
      <c r="Q986" s="1">
        <f>STDEV(N986:P986)</f>
        <v>15307.165650981739</v>
      </c>
      <c r="R986" s="1">
        <v>151356.71020009101</v>
      </c>
      <c r="S986" s="1">
        <v>1.8561142744427873E-4</v>
      </c>
    </row>
    <row r="987" spans="1:19" x14ac:dyDescent="0.3">
      <c r="A987" s="1">
        <v>836</v>
      </c>
      <c r="B987" s="1" t="s">
        <v>1718</v>
      </c>
      <c r="C987" s="1" t="s">
        <v>1719</v>
      </c>
      <c r="D987" s="1">
        <v>1.6379999999999999</v>
      </c>
      <c r="E987" s="1" t="s">
        <v>1720</v>
      </c>
      <c r="F987" s="1" t="s">
        <v>1721</v>
      </c>
      <c r="G987" s="1">
        <v>580.09083999999996</v>
      </c>
      <c r="H987" s="2">
        <v>19652870.404890601</v>
      </c>
      <c r="I987" s="1" t="s">
        <v>17</v>
      </c>
      <c r="J987" s="1">
        <v>580.74987999999996</v>
      </c>
      <c r="K987" s="1">
        <v>579.08356000000003</v>
      </c>
      <c r="L987" s="7">
        <f>G987-J987</f>
        <v>-0.65904000000000451</v>
      </c>
      <c r="M987" s="1" t="s">
        <v>24</v>
      </c>
      <c r="N987" s="2">
        <v>297625.27014765301</v>
      </c>
      <c r="O987" s="1">
        <v>12166761.4488238</v>
      </c>
      <c r="P987" s="1">
        <v>19652870.404890601</v>
      </c>
      <c r="Q987" s="1">
        <f>STDEV(N987:P987)</f>
        <v>9759984.0774806347</v>
      </c>
      <c r="R987" s="1">
        <v>10705752.374620685</v>
      </c>
      <c r="S987" s="1">
        <v>1.3128654669432208E-2</v>
      </c>
    </row>
    <row r="988" spans="1:19" x14ac:dyDescent="0.3">
      <c r="A988" s="1">
        <v>951</v>
      </c>
      <c r="B988" s="1" t="s">
        <v>2763</v>
      </c>
      <c r="C988" s="1" t="s">
        <v>2764</v>
      </c>
      <c r="D988" s="1">
        <v>3.593</v>
      </c>
      <c r="E988" s="1" t="s">
        <v>2765</v>
      </c>
      <c r="F988" s="1" t="s">
        <v>2766</v>
      </c>
      <c r="G988" s="1">
        <v>434.03258</v>
      </c>
      <c r="H988" s="2">
        <v>13459762.742132699</v>
      </c>
      <c r="I988" s="1" t="s">
        <v>17</v>
      </c>
      <c r="J988" s="1">
        <v>434.69479999999999</v>
      </c>
      <c r="K988" s="1">
        <v>433.02530000000002</v>
      </c>
      <c r="L988" s="7">
        <f>G988-J988</f>
        <v>-0.6622199999999907</v>
      </c>
      <c r="M988" s="1" t="s">
        <v>2767</v>
      </c>
      <c r="N988" s="2">
        <v>2152695.6755762799</v>
      </c>
      <c r="O988" s="1">
        <v>2687782.7506158799</v>
      </c>
      <c r="P988" s="1">
        <v>2838752.1276271599</v>
      </c>
      <c r="Q988" s="1">
        <f>STDEV(N988:P988)</f>
        <v>360505.05915780849</v>
      </c>
      <c r="R988" s="1">
        <v>2559743.5179397729</v>
      </c>
      <c r="S988" s="1">
        <v>3.1390590323213518E-3</v>
      </c>
    </row>
    <row r="989" spans="1:19" x14ac:dyDescent="0.3">
      <c r="A989" s="1">
        <v>851</v>
      </c>
      <c r="B989" s="1" t="s">
        <v>4362</v>
      </c>
      <c r="C989" s="1" t="s">
        <v>4363</v>
      </c>
      <c r="D989" s="1">
        <v>9.6389999999999993</v>
      </c>
      <c r="E989" s="1" t="s">
        <v>4364</v>
      </c>
      <c r="F989" s="1" t="s">
        <v>4365</v>
      </c>
      <c r="G989" s="1">
        <v>584.20781999999997</v>
      </c>
      <c r="H989" s="2">
        <v>515861.31724147301</v>
      </c>
      <c r="I989" s="1" t="s">
        <v>17</v>
      </c>
      <c r="J989" s="1">
        <v>584.87084000000004</v>
      </c>
      <c r="K989" s="1">
        <v>583.20055000000002</v>
      </c>
      <c r="L989" s="7">
        <f>G989-J989</f>
        <v>-0.66302000000007411</v>
      </c>
      <c r="M989" s="1" t="s">
        <v>24</v>
      </c>
      <c r="N989" s="2">
        <v>458355.44354021503</v>
      </c>
      <c r="O989" s="1">
        <v>179046.403249658</v>
      </c>
      <c r="P989" s="1">
        <v>173523.614716607</v>
      </c>
      <c r="Q989" s="1">
        <f>STDEV(N989:P989)</f>
        <v>162876.85117505904</v>
      </c>
      <c r="R989" s="1">
        <v>270308.48716882669</v>
      </c>
      <c r="S989" s="1">
        <v>3.3148410854981215E-4</v>
      </c>
    </row>
    <row r="990" spans="1:19" x14ac:dyDescent="0.3">
      <c r="A990" s="1">
        <v>97</v>
      </c>
      <c r="B990" s="1" t="s">
        <v>2490</v>
      </c>
      <c r="C990" s="1" t="s">
        <v>2491</v>
      </c>
      <c r="D990" s="1">
        <v>6.9349999999999996</v>
      </c>
      <c r="E990" s="1" t="s">
        <v>2492</v>
      </c>
      <c r="F990" s="1" t="s">
        <v>2493</v>
      </c>
      <c r="G990" s="1">
        <v>632.13023999999996</v>
      </c>
      <c r="H990" s="2">
        <v>35411656.997935399</v>
      </c>
      <c r="I990" s="1" t="s">
        <v>23</v>
      </c>
      <c r="J990" s="1">
        <v>632.83411999999998</v>
      </c>
      <c r="K990" s="1">
        <v>633.13751000000002</v>
      </c>
      <c r="L990" s="7">
        <f>G990-J990</f>
        <v>-0.70388000000002648</v>
      </c>
      <c r="M990" s="1" t="s">
        <v>2494</v>
      </c>
      <c r="N990" s="2">
        <v>3808637.4277914399</v>
      </c>
      <c r="O990" s="1">
        <v>3984736.9584158901</v>
      </c>
      <c r="P990" s="1">
        <v>3094430.1800007098</v>
      </c>
      <c r="Q990" s="1">
        <f>STDEV(N990:P990)</f>
        <v>471478.03009524441</v>
      </c>
      <c r="R990" s="1">
        <v>3629268.1887360136</v>
      </c>
      <c r="S990" s="1">
        <v>4.4506361706651218E-3</v>
      </c>
    </row>
    <row r="991" spans="1:19" x14ac:dyDescent="0.3">
      <c r="A991" s="1">
        <v>319</v>
      </c>
      <c r="B991" s="1" t="s">
        <v>3667</v>
      </c>
      <c r="C991" s="1" t="s">
        <v>3668</v>
      </c>
      <c r="D991" s="1">
        <v>1.117</v>
      </c>
      <c r="E991" s="1" t="s">
        <v>3669</v>
      </c>
      <c r="F991" s="1" t="s">
        <v>3670</v>
      </c>
      <c r="G991" s="1">
        <v>494.00767000000002</v>
      </c>
      <c r="H991" s="2">
        <v>7624797.5758307297</v>
      </c>
      <c r="I991" s="1" t="s">
        <v>17</v>
      </c>
      <c r="J991" s="1">
        <v>494.73167999999998</v>
      </c>
      <c r="K991" s="1">
        <v>493.00040000000001</v>
      </c>
      <c r="L991" s="7">
        <f>G991-J991</f>
        <v>-0.72400999999996429</v>
      </c>
      <c r="M991" s="1" t="s">
        <v>24</v>
      </c>
      <c r="N991" s="2">
        <v>1326063.46592464</v>
      </c>
      <c r="O991" s="1">
        <v>582080.99332754</v>
      </c>
      <c r="P991" s="1">
        <v>723786.08276068699</v>
      </c>
      <c r="Q991" s="1">
        <f>STDEV(N991:P991)</f>
        <v>395037.61385758565</v>
      </c>
      <c r="R991" s="1">
        <v>877310.18067095568</v>
      </c>
      <c r="S991" s="1">
        <v>1.0758610882230727E-3</v>
      </c>
    </row>
    <row r="992" spans="1:19" x14ac:dyDescent="0.3">
      <c r="A992" s="1">
        <v>148</v>
      </c>
      <c r="B992" s="1" t="s">
        <v>3247</v>
      </c>
      <c r="C992" s="1" t="s">
        <v>3248</v>
      </c>
      <c r="D992" s="1">
        <v>6.69</v>
      </c>
      <c r="E992" s="1" t="s">
        <v>3249</v>
      </c>
      <c r="F992" s="1" t="s">
        <v>3250</v>
      </c>
      <c r="G992" s="1">
        <v>824.22721999999999</v>
      </c>
      <c r="H992" s="2">
        <v>10016565.7719962</v>
      </c>
      <c r="I992" s="1" t="s">
        <v>23</v>
      </c>
      <c r="J992" s="1">
        <v>824.95763999999997</v>
      </c>
      <c r="K992" s="1">
        <v>825.23450000000003</v>
      </c>
      <c r="L992" s="7">
        <f>G992-J992</f>
        <v>-0.73041999999998097</v>
      </c>
      <c r="M992" s="1" t="s">
        <v>3251</v>
      </c>
      <c r="N992" s="2">
        <v>1161078.81515604</v>
      </c>
      <c r="O992" s="1">
        <v>1555495.3463828401</v>
      </c>
      <c r="P992" s="1">
        <v>1642280.48474973</v>
      </c>
      <c r="Q992" s="1">
        <f>STDEV(N992:P992)</f>
        <v>256466.73181463932</v>
      </c>
      <c r="R992" s="1">
        <v>1452951.54876287</v>
      </c>
      <c r="S992" s="1">
        <v>1.7817803427197488E-3</v>
      </c>
    </row>
    <row r="993" spans="1:19" x14ac:dyDescent="0.3">
      <c r="A993" s="1">
        <v>843</v>
      </c>
      <c r="B993" s="1" t="s">
        <v>4326</v>
      </c>
      <c r="C993" s="1" t="s">
        <v>4327</v>
      </c>
      <c r="D993" s="1">
        <v>6.1020000000000003</v>
      </c>
      <c r="E993" s="1" t="s">
        <v>4328</v>
      </c>
      <c r="F993" s="1" t="s">
        <v>4329</v>
      </c>
      <c r="G993" s="1">
        <v>584.13405</v>
      </c>
      <c r="H993" s="2">
        <v>31090631.614603899</v>
      </c>
      <c r="I993" s="1" t="s">
        <v>17</v>
      </c>
      <c r="J993" s="1">
        <v>584.87084000000004</v>
      </c>
      <c r="K993" s="1">
        <v>583.12676999999996</v>
      </c>
      <c r="L993" s="7">
        <f>G993-J993</f>
        <v>-0.7367900000000418</v>
      </c>
      <c r="M993" s="1" t="s">
        <v>4330</v>
      </c>
      <c r="N993" s="2">
        <v>270939.56237570097</v>
      </c>
      <c r="O993" s="1">
        <v>311845.225978337</v>
      </c>
      <c r="P993" s="1">
        <v>319467.27914373402</v>
      </c>
      <c r="Q993" s="1">
        <f>STDEV(N993:P993)</f>
        <v>26096.961202237693</v>
      </c>
      <c r="R993" s="1">
        <v>300750.68916592404</v>
      </c>
      <c r="S993" s="1">
        <v>3.6881592264486316E-4</v>
      </c>
    </row>
    <row r="994" spans="1:19" x14ac:dyDescent="0.3">
      <c r="A994" s="1">
        <v>838</v>
      </c>
      <c r="B994" s="1" t="s">
        <v>4069</v>
      </c>
      <c r="C994" s="1" t="s">
        <v>4070</v>
      </c>
      <c r="D994" s="1">
        <v>6.8620000000000001</v>
      </c>
      <c r="E994" s="1" t="s">
        <v>4071</v>
      </c>
      <c r="F994" s="1" t="s">
        <v>4072</v>
      </c>
      <c r="G994" s="1">
        <v>584.13379999999995</v>
      </c>
      <c r="H994" s="2">
        <v>9176631.1063364092</v>
      </c>
      <c r="I994" s="1" t="s">
        <v>17</v>
      </c>
      <c r="J994" s="1">
        <v>584.87084000000004</v>
      </c>
      <c r="K994" s="1">
        <v>583.12653</v>
      </c>
      <c r="L994" s="7">
        <f>G994-J994</f>
        <v>-0.73704000000009273</v>
      </c>
      <c r="M994" s="1" t="s">
        <v>4073</v>
      </c>
      <c r="N994" s="2">
        <v>515764.35283580702</v>
      </c>
      <c r="O994" s="1">
        <v>545867.46459724405</v>
      </c>
      <c r="P994" s="1">
        <v>561505.79511523596</v>
      </c>
      <c r="Q994" s="1">
        <f>STDEV(N994:P994)</f>
        <v>23248.778680875028</v>
      </c>
      <c r="R994" s="1">
        <v>541045.87084942905</v>
      </c>
      <c r="S994" s="1">
        <v>6.6349418052517254E-4</v>
      </c>
    </row>
  </sheetData>
  <autoFilter ref="A1:U1" xr:uid="{704A7055-C1A7-460D-8221-F3070AEB665C}">
    <sortState xmlns:xlrd2="http://schemas.microsoft.com/office/spreadsheetml/2017/richdata2" ref="A2:S994">
      <sortCondition descending="1" ref="L1"/>
    </sortState>
  </autoFilter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Tripathi</dc:creator>
  <cp:lastModifiedBy>Gaurav Tripathi</cp:lastModifiedBy>
  <cp:lastPrinted>2026-04-21T20:26:23Z</cp:lastPrinted>
  <dcterms:created xsi:type="dcterms:W3CDTF">2025-06-15T07:13:18Z</dcterms:created>
  <dcterms:modified xsi:type="dcterms:W3CDTF">2026-04-21T20:26:29Z</dcterms:modified>
</cp:coreProperties>
</file>